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P&amp;L Model" sheetId="3" state="visible" r:id="rId5"/>
    <sheet name="KPIs" sheetId="4" state="visible" r:id="rId6"/>
    <sheet name="Sensitivity" sheetId="5" state="visible" r:id="rId7"/>
    <sheet name="Project Tracker" sheetId="6" state="visible" r:id="rId8"/>
    <sheet name="Variance" sheetId="7" state="visible" r:id="rId9"/>
    <sheet name="Scenarios" sheetId="8" state="visible" r:id="rId10"/>
    <sheet name="Campus Split" sheetId="9" state="visible" r:id="rId11"/>
  </sheets>
  <definedNames>
    <definedName function="false" hidden="false" localSheetId="1" name="_xlnm.Print_Titles" vbProcedure="false">Assumptions!$1:$2</definedName>
    <definedName function="false" hidden="false" localSheetId="8" name="_xlnm.Print_Titles" vbProcedure="false">'Campus Split'!$1:$2</definedName>
    <definedName function="false" hidden="false" localSheetId="3" name="_xlnm.Print_Titles" vbProcedure="false">KPIs!$1:$2</definedName>
    <definedName function="false" hidden="false" localSheetId="2" name="_xlnm.Print_Titles" vbProcedure="false">'P&amp;L Model'!$1:$2</definedName>
    <definedName function="false" hidden="false" localSheetId="5" name="_xlnm.Print_Titles" vbProcedure="false">'Project Tracker'!$1:$2</definedName>
    <definedName function="false" hidden="false" localSheetId="7" name="_xlnm.Print_Titles" vbProcedure="false">Scenarios!$1:$2</definedName>
    <definedName function="false" hidden="false" localSheetId="4" name="_xlnm.Print_Titles" vbProcedure="false">Sensitivity!$1:$2</definedName>
    <definedName function="false" hidden="false" localSheetId="6" name="_xlnm.Print_Titles" vbProcedure="false">Variance!$1:$2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<sst xmlns="http://schemas.openxmlformats.org/spreadsheetml/2006/main" count="375" uniqueCount="309">
  <si>
    <t xml:space="preserve">180DC ESCP</t>
  </si>
  <si>
    <t xml:space="preserve">Financial Planning Model  —  Fall Semester 2026</t>
  </si>
  <si>
    <t xml:space="preserve">Prepared for: 180DC ESCP Finance Position — Recruitment Case Study</t>
  </si>
  <si>
    <t xml:space="preserve">Date: Fall 2026  |  Version: 2.0  |  Prepared by: David</t>
  </si>
  <si>
    <t xml:space="preserve">ORGANISATIONAL CONTEXT (Research-Based)</t>
  </si>
  <si>
    <t xml:space="preserve">Mission</t>
  </si>
  <si>
    <t xml:space="preserve">World's largest university-based consultancy for nonprofits and social enterprises (founded 2007, Sydney)</t>
  </si>
  <si>
    <t xml:space="preserve">ESCP Branch</t>
  </si>
  <si>
    <t xml:space="preserve">Active on 5 campuses: Paris, Berlin, London, Madrid, Turin. Serves European nonprofits and social enterprises.</t>
  </si>
  <si>
    <t xml:space="preserve">Client Profile</t>
  </si>
  <si>
    <t xml:space="preserve">Clients include Amnesty International, Rainforest Alliance, Les Restos du Coeur, Enercoop, Greenly, Fundacion Vicente Ferrer, UNHCR and similar.</t>
  </si>
  <si>
    <t xml:space="preserve">Revenue Model</t>
  </si>
  <si>
    <t xml:space="preserve">Primarily pro-bono or symbolic-fee. Revenue driven by corporate sponsorships, ESCP institutional support, and student membership fees.</t>
  </si>
  <si>
    <t xml:space="preserve">Project Fees</t>
  </si>
  <si>
    <t xml:space="preserve">Affordable/symbolic contribution (€300–800 per project) — NOT standard consulting rates. Clients are nonprofits with constrained budgets.</t>
  </si>
  <si>
    <t xml:space="preserve">Team Structure</t>
  </si>
  <si>
    <t xml:space="preserve">Presidency, Business Development, People &amp; Org, Marketing, Operations, Consulting. ~5–6 consultants per project team with a Project Leader.</t>
  </si>
  <si>
    <t xml:space="preserve">Scale Benchmarks</t>
  </si>
  <si>
    <t xml:space="preserve">80+ members; 8 projects/semester; 4-5 projects also cited for some comparable branches. Semester budget: ~€8,000–18,000 (European top school branch).</t>
  </si>
  <si>
    <t xml:space="preserve">WORKBOOK INDEX</t>
  </si>
  <si>
    <t xml:space="preserve">1</t>
  </si>
  <si>
    <t xml:space="preserve">Assumptions</t>
  </si>
  <si>
    <t xml:space="preserve">All model inputs. Blue = hardcoded input; Black = formula; Green = cross-sheet.</t>
  </si>
  <si>
    <t xml:space="preserve">2</t>
  </si>
  <si>
    <t xml:space="preserve">P&amp;L Model</t>
  </si>
  <si>
    <t xml:space="preserve">Monthly profit &amp; loss Sep–Dec 2026. Revenue, costs, net position and margins.</t>
  </si>
  <si>
    <t xml:space="preserve">3</t>
  </si>
  <si>
    <t xml:space="preserve">KPIs</t>
  </si>
  <si>
    <t xml:space="preserve">Eight KPIs with targets and RAG conditional formatting. Live-linked from P&amp;L.</t>
  </si>
  <si>
    <t xml:space="preserve">4</t>
  </si>
  <si>
    <t xml:space="preserve">Sensitivity</t>
  </si>
  <si>
    <t xml:space="preserve">Two-variable table: projects × symbolic fee. Identifies break-even conditions.</t>
  </si>
  <si>
    <t xml:space="preserve">ASSUMPTIONS  |  180DC ESCP Financial Model  —  Fall 2026</t>
  </si>
  <si>
    <t xml:space="preserve">Blue = hardcoded input   |   Black = formula   |   Green = cross-sheet reference   |   Assumptions reflect actual 180DC operations: pro-bono / symbolic-fee model</t>
  </si>
  <si>
    <t xml:space="preserve">Parameter</t>
  </si>
  <si>
    <t xml:space="preserve">Value</t>
  </si>
  <si>
    <t xml:space="preserve">Commentary / Source</t>
  </si>
  <si>
    <t xml:space="preserve">ORGANISATION — Confirmed from 180DC ESCP website &amp; brief</t>
  </si>
  <si>
    <t xml:space="preserve">Total Members</t>
  </si>
  <si>
    <t xml:space="preserve">Website shows ~30 named leadership + consultants; brief states 80+. Assumed 85.</t>
  </si>
  <si>
    <t xml:space="preserve">Active Consulting Members</t>
  </si>
  <si>
    <t xml:space="preserve">~5–6 consultants × 8 projects = 40–48 on projects; add Project Leaders and Head of Consulting dept.</t>
  </si>
  <si>
    <t xml:space="preserve">Executive / Admin Members</t>
  </si>
  <si>
    <t xml:space="preserve">Derived: total less active consultants. Covers Presidency, BD, P&amp;O, Marketing, Operations.</t>
  </si>
  <si>
    <t xml:space="preserve">Number of Campuses</t>
  </si>
  <si>
    <t xml:space="preserve">Paris, Berlin, London, Madrid, Turin — confirmed from ESCP website.</t>
  </si>
  <si>
    <t xml:space="preserve">Consultants per Project</t>
  </si>
  <si>
    <t xml:space="preserve">Typical 180DC project team: 1 Project Leader + 5 Consultants.</t>
  </si>
  <si>
    <t xml:space="preserve">Semester Duration (months)</t>
  </si>
  <si>
    <t xml:space="preserve">September through December 2026 inclusive.</t>
  </si>
  <si>
    <t xml:space="preserve">REVENUE — CONSULTING PROJECTS  (Pro-Bono / Symbolic Contribution Model)</t>
  </si>
  <si>
    <t xml:space="preserve">Projects per Semester</t>
  </si>
  <si>
    <t xml:space="preserve">Per brief. Consistent with top European 180DC branches.</t>
  </si>
  <si>
    <t xml:space="preserve">Symbolic Client Contribution (€)</t>
  </si>
  <si>
    <t xml:space="preserve">180DC serves nonprofits who cannot pay standard fees. Symbolic €300–800 is market norm for top-school EU branches.</t>
  </si>
  <si>
    <t xml:space="preserve">% of Projects with Contribution</t>
  </si>
  <si>
    <t xml:space="preserve">Estimated 75% of clients make a symbolic contribution; remainder fully pro-bono.</t>
  </si>
  <si>
    <t xml:space="preserve">Project Revenue (€)</t>
  </si>
  <si>
    <t xml:space="preserve">Derived: projects × symbolic fee × contribution rate. Revenue is supplementary, not primary.</t>
  </si>
  <si>
    <t xml:space="preserve">REVENUE — CORPORATE SPONSORSHIPS  (Primary Revenue Driver)</t>
  </si>
  <si>
    <t xml:space="preserve">Number of Corporate Sponsors</t>
  </si>
  <si>
    <t xml:space="preserve">Top EU business school branches typically secure 2–4 sponsors per semester.</t>
  </si>
  <si>
    <t xml:space="preserve">Avg. Sponsorship Value (€)</t>
  </si>
  <si>
    <t xml:space="preserve">Mix of cash and in-kind. Range €2,000–8,000. Sponsors gain brand access to ESCP talent pipeline.</t>
  </si>
  <si>
    <t xml:space="preserve">Total Sponsorship Revenue (€)</t>
  </si>
  <si>
    <t xml:space="preserve">Derived. Key driver: ESCP brand and multi-campus reach makes the branch attractive to corporate partners.</t>
  </si>
  <si>
    <t xml:space="preserve">REVENUE — INSTITUTIONAL SUPPORT &amp; MEMBERSHIP</t>
  </si>
  <si>
    <t xml:space="preserve">ESCP University Grant / Support (€)</t>
  </si>
  <si>
    <t xml:space="preserve">ESCP student association budget allocation. Common practice at ESCP for recognised clubs.</t>
  </si>
  <si>
    <t xml:space="preserve">Membership Fee per Member (€)</t>
  </si>
  <si>
    <t xml:space="preserve">Nominal semester fee. Kept low given pro-bono mission. €15–30 typical range.</t>
  </si>
  <si>
    <t xml:space="preserve">Gross Membership Revenue (€)</t>
  </si>
  <si>
    <t xml:space="preserve">Derived: total members × membership fee. Collected upfront in September.</t>
  </si>
  <si>
    <t xml:space="preserve">Event / Workshop Ticket Revenue (€)</t>
  </si>
  <si>
    <t xml:space="preserve">2 events × ~20 external attendees × €20. Internal members attend free.</t>
  </si>
  <si>
    <t xml:space="preserve">Other Miscellaneous Revenue (€)</t>
  </si>
  <si>
    <t xml:space="preserve">Grants, donations, merchandise. Conservative estimate.</t>
  </si>
  <si>
    <t xml:space="preserve">COSTS — EVENTS &amp; ACTIVITIES</t>
  </si>
  <si>
    <t xml:space="preserve">Number of Events per Semester</t>
  </si>
  <si>
    <t xml:space="preserve">1 Kickoff, 1 Alumni/Networking, 1 Impact showcase, 1 Social. Standard 180DC branch calendar.</t>
  </si>
  <si>
    <t xml:space="preserve">Avg. Cost per Event (€)</t>
  </si>
  <si>
    <t xml:space="preserve">Venue (often subsidised by ESCP), catering, materials. Low given campus facilities.</t>
  </si>
  <si>
    <t xml:space="preserve">Total Event Cost (€)</t>
  </si>
  <si>
    <t xml:space="preserve">Derived.</t>
  </si>
  <si>
    <t xml:space="preserve">COSTS — OPERATIONS (Fixed Monthly)</t>
  </si>
  <si>
    <t xml:space="preserve">Marketing &amp; Communications (€ / month)</t>
  </si>
  <si>
    <t xml:space="preserve">Social media, printing, Canva. Lower than initially assumed given ESCP infrastructure support.</t>
  </si>
  <si>
    <t xml:space="preserve">Software &amp; Digital Tools (€ / month)</t>
  </si>
  <si>
    <t xml:space="preserve">Notion, Zoom Pro, survey tools. Some provided by ESCP.</t>
  </si>
  <si>
    <t xml:space="preserve">Admin &amp; Miscellaneous (€ / month)</t>
  </si>
  <si>
    <t xml:space="preserve">Postage, printing, banking fees.</t>
  </si>
  <si>
    <t xml:space="preserve">COSTS — PROJECT DELIVERY</t>
  </si>
  <si>
    <t xml:space="preserve">Project Delivery Costs (€ / project)</t>
  </si>
  <si>
    <t xml:space="preserve">Materials, printing, client meetings. Low: students provide labour pro-bono.</t>
  </si>
  <si>
    <t xml:space="preserve">Travel &amp; Client Meetings (€)</t>
  </si>
  <si>
    <t xml:space="preserve">Cross-campus coordination and client site visits across 5 campuses.</t>
  </si>
  <si>
    <t xml:space="preserve">FINANCIAL POLICY</t>
  </si>
  <si>
    <t xml:space="preserve">Contingency Reserve (%)</t>
  </si>
  <si>
    <t xml:space="preserve">8% of operating costs held as buffer. Slightly higher than standard given multi-campus complexity.</t>
  </si>
  <si>
    <t xml:space="preserve">Target Net Margin (%)</t>
  </si>
  <si>
    <t xml:space="preserve">Modest 5% target: organisation prioritises impact over financial surplus.</t>
  </si>
  <si>
    <t xml:space="preserve">Global Franchise Fee (%)</t>
  </si>
  <si>
    <t xml:space="preserve">180DC branches are autonomous; no royalty fee to global body confirmed. Set to 0 unless advised otherwise.</t>
  </si>
  <si>
    <t xml:space="preserve">P&amp;L MODEL  |  180DC ESCP  —  Fall Semester 2026</t>
  </si>
  <si>
    <t xml:space="preserve">Pro-bono / symbolic-fee model. Revenue driven by sponsorships and institutional support. All amounts in EUR (€).</t>
  </si>
  <si>
    <t xml:space="preserve">Line Item</t>
  </si>
  <si>
    <t xml:space="preserve">Full-Semester Basis</t>
  </si>
  <si>
    <t xml:space="preserve">September</t>
  </si>
  <si>
    <t xml:space="preserve">October</t>
  </si>
  <si>
    <t xml:space="preserve">November</t>
  </si>
  <si>
    <t xml:space="preserve">December</t>
  </si>
  <si>
    <t xml:space="preserve">FY Total</t>
  </si>
  <si>
    <t xml:space="preserve">I.  REVENUE</t>
  </si>
  <si>
    <t xml:space="preserve">1.1  Symbolic Project Contributions</t>
  </si>
  <si>
    <t xml:space="preserve">1.2  Corporate Sponsorships</t>
  </si>
  <si>
    <t xml:space="preserve">1.3  ESCP Institutional Grant / Support</t>
  </si>
  <si>
    <t xml:space="preserve">1.4  Membership Fees</t>
  </si>
  <si>
    <t xml:space="preserve">1.5  Event / Workshop Revenue</t>
  </si>
  <si>
    <t xml:space="preserve">1.6  Other / Miscellaneous Revenue</t>
  </si>
  <si>
    <t xml:space="preserve">TOTAL REVENUE</t>
  </si>
  <si>
    <t xml:space="preserve">Semester aggregate</t>
  </si>
  <si>
    <t xml:space="preserve">II.  COSTS</t>
  </si>
  <si>
    <t xml:space="preserve">2.1  Events &amp; Activities</t>
  </si>
  <si>
    <t xml:space="preserve">2.2  Project Delivery Costs</t>
  </si>
  <si>
    <t xml:space="preserve">Per project (materials, meetings)</t>
  </si>
  <si>
    <t xml:space="preserve">2.3  Travel &amp; Client Meetings</t>
  </si>
  <si>
    <t xml:space="preserve">Multi-campus coordination</t>
  </si>
  <si>
    <t xml:space="preserve">2.4  Marketing &amp; Communications</t>
  </si>
  <si>
    <t xml:space="preserve">Fixed monthly cost</t>
  </si>
  <si>
    <t xml:space="preserve">2.5  Software &amp; Digital Tools</t>
  </si>
  <si>
    <t xml:space="preserve">2.6  Admin &amp; Miscellaneous</t>
  </si>
  <si>
    <t xml:space="preserve">2.7  Contingency Reserve (8%)</t>
  </si>
  <si>
    <t xml:space="preserve">8% of operating costs</t>
  </si>
  <si>
    <t xml:space="preserve">TOTAL COSTS</t>
  </si>
  <si>
    <t xml:space="preserve">III.  NET FINANCIAL POSITION</t>
  </si>
  <si>
    <t xml:space="preserve">Gross Surplus / (Deficit)</t>
  </si>
  <si>
    <t xml:space="preserve">Revenue – Costs</t>
  </si>
  <si>
    <t xml:space="preserve">Cumulative Net Position</t>
  </si>
  <si>
    <t xml:space="preserve">Running total</t>
  </si>
  <si>
    <t xml:space="preserve">Net Margin (%)</t>
  </si>
  <si>
    <t xml:space="preserve">Surplus / Revenue</t>
  </si>
  <si>
    <t xml:space="preserve">Cost-to-Revenue Ratio (%)</t>
  </si>
  <si>
    <t xml:space="preserve">Costs / Revenue</t>
  </si>
  <si>
    <t xml:space="preserve">FINANCIAL KPI TRACKER  |  180DC ESCP  —  Fall 2026</t>
  </si>
  <si>
    <t xml:space="preserve">8 KPIs with targets calibrated to 180DC pro-bono model. RAG via conditional formatting. Live-linked.</t>
  </si>
  <si>
    <t xml:space="preserve">#</t>
  </si>
  <si>
    <t xml:space="preserve">KPI</t>
  </si>
  <si>
    <t xml:space="preserve">Definition</t>
  </si>
  <si>
    <t xml:space="preserve">Target</t>
  </si>
  <si>
    <t xml:space="preserve">Status</t>
  </si>
  <si>
    <t xml:space="preserve">Sponsorship Coverage Ratio (%)</t>
  </si>
  <si>
    <t xml:space="preserve">Sponsorship revenue as % of total costs — primary sustainability indicator for a pro-bono branch</t>
  </si>
  <si>
    <t xml:space="preserve">≥ 60%</t>
  </si>
  <si>
    <t xml:space="preserve">Cost per Member (€)</t>
  </si>
  <si>
    <t xml:space="preserve">Total semester costs divided by total members — efficiency of resource deployment</t>
  </si>
  <si>
    <t xml:space="preserve">≤ €100</t>
  </si>
  <si>
    <t xml:space="preserve">Net Surplus / (Deficit) (€)</t>
  </si>
  <si>
    <t xml:space="preserve">Total revenue minus total costs. Modest surplus reinvested in branch development.</t>
  </si>
  <si>
    <t xml:space="preserve">&gt; €0</t>
  </si>
  <si>
    <t xml:space="preserve">Net surplus as % of revenue. Target kept modest — organisation prioritises social impact.</t>
  </si>
  <si>
    <t xml:space="preserve">≥ 5%</t>
  </si>
  <si>
    <t xml:space="preserve">5</t>
  </si>
  <si>
    <t xml:space="preserve">Revenue per Project (€)</t>
  </si>
  <si>
    <t xml:space="preserve">Average total revenue allocated per consulting project delivered — capacity planning metric</t>
  </si>
  <si>
    <t xml:space="preserve">≥ €1,200</t>
  </si>
  <si>
    <t xml:space="preserve">6</t>
  </si>
  <si>
    <t xml:space="preserve">Institutional &amp; Sponsorship as % of Revenue</t>
  </si>
  <si>
    <t xml:space="preserve">Combined sponsorship + institutional grant share of total revenue — funding structure health</t>
  </si>
  <si>
    <t xml:space="preserve">≥ 50%</t>
  </si>
  <si>
    <t xml:space="preserve">7</t>
  </si>
  <si>
    <t xml:space="preserve">Events Cost as % of Total Costs</t>
  </si>
  <si>
    <t xml:space="preserve">Events spend divided by total costs — checks spend concentration in non-core activity</t>
  </si>
  <si>
    <t xml:space="preserve">≤ 35%</t>
  </si>
  <si>
    <t xml:space="preserve">8</t>
  </si>
  <si>
    <t xml:space="preserve">Revenue per Active Member (€)</t>
  </si>
  <si>
    <t xml:space="preserve">Total revenue divided by active consulting members — fundraising &amp; business development productivity</t>
  </si>
  <si>
    <t xml:space="preserve">≥ €200</t>
  </si>
  <si>
    <t xml:space="preserve">SENSITIVITY ANALYSIS  |  Net Surplus (€)  —  Projects × Symbolic Fee</t>
  </si>
  <si>
    <t xml:space="preserve">Rows = number of projects; Columns = symbolic client contribution per project (€). Sponsorships, grants and fixed costs held constant at base assumptions. Shaded cell = base case. Green = surplus; Red = deficit.</t>
  </si>
  <si>
    <t xml:space="preserve">Symbolic Client Contribution (€ per project)</t>
  </si>
  <si>
    <t xml:space="preserve">Shaded = base case (8 projects, €500 symbolic fee). Column at €0 = fully pro-bono scenario. Break-even identified where cell turns green.</t>
  </si>
  <si>
    <t xml:space="preserve">PROJECT TRACKER  |  180DC ESCP  —  Fall Semester 2026</t>
  </si>
  <si>
    <t xml:space="preserve">Live register of all consulting projects. Update Status and Actual Hours weekly. Fee columns feed back to the P&amp;L Model for variance tracking.</t>
  </si>
  <si>
    <t xml:space="preserve">Client Name</t>
  </si>
  <si>
    <t xml:space="preserve">Sector / Impact Area</t>
  </si>
  <si>
    <t xml:space="preserve">Project Leader</t>
  </si>
  <si>
    <t xml:space="preserve">Consultants (names)</t>
  </si>
  <si>
    <t xml:space="preserve">Team</t>
  </si>
  <si>
    <t xml:space="preserve">Start</t>
  </si>
  <si>
    <t xml:space="preserve">End</t>
  </si>
  <si>
    <t xml:space="preserve">Hrs
Budget</t>
  </si>
  <si>
    <t xml:space="preserve">Hrs
Actual</t>
  </si>
  <si>
    <t xml:space="preserve">Completion
%</t>
  </si>
  <si>
    <t xml:space="preserve">Fee (€)</t>
  </si>
  <si>
    <t xml:space="preserve">Inv.</t>
  </si>
  <si>
    <t xml:space="preserve">Received (€)</t>
  </si>
  <si>
    <t xml:space="preserve">Outstanding (€)</t>
  </si>
  <si>
    <t xml:space="preserve">Key Deliverable / Notes</t>
  </si>
  <si>
    <t xml:space="preserve">Greenly</t>
  </si>
  <si>
    <t xml:space="preserve">Sustainability &amp; Climate Tech</t>
  </si>
  <si>
    <t xml:space="preserve">Carl-Vincent von Glenck</t>
  </si>
  <si>
    <t xml:space="preserve">L. Manzoni, A. Chandel, M. Bozzoli, R. Deren, U. Jargalsaikhan</t>
  </si>
  <si>
    <t xml:space="preserve">01-Sep-26</t>
  </si>
  <si>
    <t xml:space="preserve">31-Oct-26</t>
  </si>
  <si>
    <t xml:space="preserve">Completed</t>
  </si>
  <si>
    <t xml:space="preserve">Yes</t>
  </si>
  <si>
    <t xml:space="preserve">Carbon footprint methodology benchmarking for SaaS clients</t>
  </si>
  <si>
    <t xml:space="preserve">Amnesty International</t>
  </si>
  <si>
    <t xml:space="preserve">Social Welfare &amp; Human Rights</t>
  </si>
  <si>
    <t xml:space="preserve">Daniele Ovazza</t>
  </si>
  <si>
    <t xml:space="preserve">I. Desmaretz, L. Sri, K. Baskaran, A. Pangil Mohan, N. Rathor</t>
  </si>
  <si>
    <t xml:space="preserve">15-Nov-26</t>
  </si>
  <si>
    <t xml:space="preserve">Under Review</t>
  </si>
  <si>
    <t xml:space="preserve">Volunteer engagement strategy &amp; donor retention model</t>
  </si>
  <si>
    <t xml:space="preserve">Rainforest Alliance</t>
  </si>
  <si>
    <t xml:space="preserve">Kyungwon Lee</t>
  </si>
  <si>
    <t xml:space="preserve">S. Ravichandran, V. von Falkenhausen, A. Egle, D. Ibrahim</t>
  </si>
  <si>
    <t xml:space="preserve">15-Sep-26</t>
  </si>
  <si>
    <t xml:space="preserve">30-Nov-26</t>
  </si>
  <si>
    <t xml:space="preserve">Active</t>
  </si>
  <si>
    <t xml:space="preserve">Supply chain transparency framework for certified producers</t>
  </si>
  <si>
    <t xml:space="preserve">Enercoop</t>
  </si>
  <si>
    <t xml:space="preserve">Lukas Brehm</t>
  </si>
  <si>
    <t xml:space="preserve">A. Skrzynska, S. Kanwischer, M. Luty, X. Yuan</t>
  </si>
  <si>
    <t xml:space="preserve">01-Oct-26</t>
  </si>
  <si>
    <t xml:space="preserve">20-Dec-26</t>
  </si>
  <si>
    <t xml:space="preserve">No</t>
  </si>
  <si>
    <t xml:space="preserve">Go-to-market strategy for cooperative energy membership expansion</t>
  </si>
  <si>
    <t xml:space="preserve">Fundacion Vicente Ferrer</t>
  </si>
  <si>
    <t xml:space="preserve">Social Welfare &amp; Support</t>
  </si>
  <si>
    <t xml:space="preserve">Giulia Renga</t>
  </si>
  <si>
    <t xml:space="preserve">A. Noronha, D. Ovazza, A. Vasi Shaikh, K. Lee</t>
  </si>
  <si>
    <t xml:space="preserve">Impact measurement framework &amp; donor communication strategy</t>
  </si>
  <si>
    <t xml:space="preserve">EASPD</t>
  </si>
  <si>
    <t xml:space="preserve">Disability &amp; Inclusion</t>
  </si>
  <si>
    <t xml:space="preserve">Alonso Gonzalez</t>
  </si>
  <si>
    <t xml:space="preserve">L. Brehm, M. Fantoni, S. Deriya, J. Kaur</t>
  </si>
  <si>
    <t xml:space="preserve">15-Dec-26</t>
  </si>
  <si>
    <t xml:space="preserve">European policy advocacy strategy (pro-bono — no fee)</t>
  </si>
  <si>
    <t xml:space="preserve">Impact Hub Berlin</t>
  </si>
  <si>
    <t xml:space="preserve">Innovation Ecosystems</t>
  </si>
  <si>
    <t xml:space="preserve">Shreyansh Deriya</t>
  </si>
  <si>
    <t xml:space="preserve">D. Nidhi, A. Michel, M. Dolz, M. Luty</t>
  </si>
  <si>
    <t xml:space="preserve">15-Oct-26</t>
  </si>
  <si>
    <t xml:space="preserve">Scoping</t>
  </si>
  <si>
    <t xml:space="preserve">Community scaling model &amp; partnership framework</t>
  </si>
  <si>
    <t xml:space="preserve">SEO London</t>
  </si>
  <si>
    <t xml:space="preserve">Education &amp; EdTech</t>
  </si>
  <si>
    <t xml:space="preserve">Marianne Luty</t>
  </si>
  <si>
    <t xml:space="preserve">S. Kanwischer, A. Skrzynska, A. Egle, N. Rathor</t>
  </si>
  <si>
    <t xml:space="preserve">01-Nov-26</t>
  </si>
  <si>
    <t xml:space="preserve">31-Dec-26</t>
  </si>
  <si>
    <t xml:space="preserve">Talent pipeline strategy for underrepresented students (pro-bono)</t>
  </si>
  <si>
    <t xml:space="preserve">TOTALS</t>
  </si>
  <si>
    <t xml:space="preserve">Note: Outstanding (€) auto-calculates only for invoiced projects. Pro-bono projects (EASPD, SEO London) show €0 fee by design. Update Hrs Actual weekly; Status via dropdown.</t>
  </si>
  <si>
    <t xml:space="preserve">SEMESTER VARIANCE  |  Spring 2026 (Est.) vs. Fall 2026 (Budget)</t>
  </si>
  <si>
    <t xml:space="preserve">Spring 2026 figures are management estimates based on prior-semester patterns. Positive variance = improvement. Update Spring column with actuals once available.</t>
  </si>
  <si>
    <t xml:space="preserve">Spring 2026
(Estimated)</t>
  </si>
  <si>
    <t xml:space="preserve">Fall 2026
(Budget)</t>
  </si>
  <si>
    <t xml:space="preserve">Variance (€)</t>
  </si>
  <si>
    <t xml:space="preserve">Variance (%)</t>
  </si>
  <si>
    <t xml:space="preserve">  I.  REVENUE</t>
  </si>
  <si>
    <t xml:space="preserve">1.3  ESCP Institutional Grant</t>
  </si>
  <si>
    <t xml:space="preserve">1.6  Other / Miscellaneous</t>
  </si>
  <si>
    <t xml:space="preserve">  II.  COSTS</t>
  </si>
  <si>
    <t xml:space="preserve">2.7  Contingency Reserve</t>
  </si>
  <si>
    <t xml:space="preserve">  III.  NET POSITION</t>
  </si>
  <si>
    <t xml:space="preserve">Spring 2026 estimates: 7 projects, 2 sponsors, 3 events. Fall 2026 budget: 8 projects, 3 sponsors, 4 events. Fill blue cells with Spring actuals once semester closes.</t>
  </si>
  <si>
    <t xml:space="preserve">SCENARIO PLANNING  |  Conservative — Base — Optimistic</t>
  </si>
  <si>
    <t xml:space="preserve">Three full-model scenarios for executive decision-making. Base = current budget. All assumptions hardcoded per scenario for auditability.</t>
  </si>
  <si>
    <t xml:space="preserve">Conservative</t>
  </si>
  <si>
    <t xml:space="preserve">Base (Budget)</t>
  </si>
  <si>
    <t xml:space="preserve">Optimistic</t>
  </si>
  <si>
    <t xml:space="preserve">Upside vs. Base</t>
  </si>
  <si>
    <t xml:space="preserve">  REVENUE ASSUMPTIONS</t>
  </si>
  <si>
    <t xml:space="preserve">Symbolic Fee per Project (€)</t>
  </si>
  <si>
    <t xml:space="preserve">% Projects with Contribution</t>
  </si>
  <si>
    <t xml:space="preserve">Number of Sponsors</t>
  </si>
  <si>
    <t xml:space="preserve">Avg. Sponsor Value (€)</t>
  </si>
  <si>
    <t xml:space="preserve">ESCP Grant (€)</t>
  </si>
  <si>
    <t xml:space="preserve">Membership Fee (€)</t>
  </si>
  <si>
    <t xml:space="preserve">  COST ASSUMPTIONS</t>
  </si>
  <si>
    <t xml:space="preserve">Number of Events</t>
  </si>
  <si>
    <t xml:space="preserve">Project Delivery Cost / Project (€)</t>
  </si>
  <si>
    <t xml:space="preserve">Monthly Operating Costs (€)</t>
  </si>
  <si>
    <t xml:space="preserve">  DERIVED FINANCIAL OUTCOMES</t>
  </si>
  <si>
    <t xml:space="preserve">Total Revenue (€)</t>
  </si>
  <si>
    <t xml:space="preserve">Total Costs (€)</t>
  </si>
  <si>
    <t xml:space="preserve">Gross Surplus / (Deficit) (€)</t>
  </si>
  <si>
    <t xml:space="preserve">Rev. per Active Member (€)</t>
  </si>
  <si>
    <t xml:space="preserve">All scenario figures are independently calculated for full auditability. Base column matches P&amp;L Model. Conservative = 1 fewer project, 1 fewer sponsor, reduced fees. Optimistic = 2 extra projects, 1 extra sponsor, 40% higher fees.</t>
  </si>
  <si>
    <t xml:space="preserve">CAMPUS BUDGET SPLIT  |  180DC ESCP  —  Fall Semester 2026</t>
  </si>
  <si>
    <t xml:space="preserve">Consolidated budget allocated across 5 campuses based on member headcount. Adjust allocation weights (blue cells) to reflect campus-specific activity levels.</t>
  </si>
  <si>
    <t xml:space="preserve">Budget Line</t>
  </si>
  <si>
    <t xml:space="preserve">Paris</t>
  </si>
  <si>
    <t xml:space="preserve">Berlin</t>
  </si>
  <si>
    <t xml:space="preserve">London</t>
  </si>
  <si>
    <t xml:space="preserve">Madrid</t>
  </si>
  <si>
    <t xml:space="preserve">Turin</t>
  </si>
  <si>
    <t xml:space="preserve">TOTAL</t>
  </si>
  <si>
    <t xml:space="preserve">Verify vs. P&amp;L</t>
  </si>
  <si>
    <t xml:space="preserve">Member Headcount</t>
  </si>
  <si>
    <t xml:space="preserve">85 total members</t>
  </si>
  <si>
    <t xml:space="preserve">Allocation Weight (%)</t>
  </si>
  <si>
    <t xml:space="preserve">Must sum to 100%</t>
  </si>
  <si>
    <t xml:space="preserve">  I.  REVENUE ALLOCATION</t>
  </si>
  <si>
    <t xml:space="preserve">1.6  Other Revenue</t>
  </si>
  <si>
    <t xml:space="preserve">  II.  COST ALLOCATION</t>
  </si>
  <si>
    <t xml:space="preserve">Allocation basis: member headcount per campus (Paris 35%, Berlin 26%, London 21%, Madrid 12%, Turin 6%). The 'Verify' column should show €0 across all lines — any non-zero indicates a rounding or formula error. Adjust headcount inputs (row 5) to reflect actual campus membership each semester.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</si>
</sst>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;\-"/>
    <numFmt numFmtId="166" formatCode="\€#,##0;&quot;(€&quot;#,##0\);\-"/>
    <numFmt numFmtId="167" formatCode="0.0%;\(0.0%\);\-"/>
    <numFmt numFmtId="168" formatCode="@"/>
    <numFmt numFmtId="169" formatCode="#,##0;\(#,##0\);\-"/>
    <numFmt numFmtId="170" formatCode="dd\-mmm\-yy"/>
    <numFmt numFmtId="171" formatCode="0.0%;\(0.0%\);\-"/>
    <numFmt numFmtId="172" formatCode="\€#,##0;&quot;(€&quot;#,##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D1B2A"/>
      <name val="Calibri"/>
      <family val="0"/>
      <charset val="1"/>
    </font>
    <font>
      <sz val="14"/>
      <color rgb="FF2E5E8E"/>
      <name val="Calibri"/>
      <family val="0"/>
      <charset val="1"/>
    </font>
    <font>
      <i val="true"/>
      <sz val="9"/>
      <color rgb="FF1C355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0D1B2A"/>
      <name val="Calibri"/>
      <family val="0"/>
      <charset val="1"/>
    </font>
    <font>
      <sz val="9"/>
      <color rgb="FF1C3557"/>
      <name val="Calibri"/>
      <family val="0"/>
      <charset val="1"/>
    </font>
    <font>
      <b val="true"/>
      <sz val="10"/>
      <color rgb="FF0D1B2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8"/>
      <color rgb="FF0D1B2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1F3E6B"/>
      <name val="Calibri"/>
      <family val="0"/>
      <charset val="1"/>
    </font>
    <font>
      <sz val="10"/>
      <color rgb="FF1C3557"/>
      <name val="Calibri"/>
      <family val="0"/>
      <charset val="1"/>
    </font>
    <font>
      <sz val="10"/>
      <color rgb="FF1A5C25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i val="true"/>
      <sz val="8"/>
      <color rgb="FF1C3557"/>
      <name val="Calibri"/>
      <family val="0"/>
      <charset val="1"/>
    </font>
    <font>
      <b val="true"/>
      <sz val="10"/>
      <color rgb="FF1A5C25"/>
      <name val="Calibri"/>
      <family val="0"/>
      <charset val="1"/>
    </font>
    <font>
      <b val="true"/>
      <sz val="10"/>
      <color rgb="FF7A5200"/>
      <name val="Calibri"/>
      <family val="0"/>
      <charset val="1"/>
    </font>
    <font>
      <b val="true"/>
      <sz val="10"/>
      <color rgb="FF1E3A8A"/>
      <name val="Calibri"/>
      <family val="0"/>
      <charset val="1"/>
    </font>
    <font>
      <b val="true"/>
      <sz val="10"/>
      <color rgb="FF374151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BF0F5"/>
        <bgColor rgb="FFF3F4F6"/>
      </patternFill>
    </fill>
    <fill>
      <patternFill patternType="solid">
        <fgColor rgb="FFF7F9FC"/>
        <bgColor rgb="FFF3F4F6"/>
      </patternFill>
    </fill>
    <fill>
      <patternFill patternType="solid">
        <fgColor rgb="FF1C3557"/>
        <bgColor rgb="FF1F3E6B"/>
      </patternFill>
    </fill>
    <fill>
      <patternFill patternType="solid">
        <fgColor rgb="FFFFFFFF"/>
        <bgColor rgb="FFF7F9FC"/>
      </patternFill>
    </fill>
    <fill>
      <patternFill patternType="solid">
        <fgColor rgb="FFB8922A"/>
        <bgColor rgb="FF808080"/>
      </patternFill>
    </fill>
    <fill>
      <patternFill patternType="solid">
        <fgColor rgb="FF2E5E8E"/>
        <bgColor rgb="FF1F3E6B"/>
      </patternFill>
    </fill>
    <fill>
      <patternFill patternType="solid">
        <fgColor rgb="FFC8D0D8"/>
        <bgColor rgb="FFD6E4D8"/>
      </patternFill>
    </fill>
    <fill>
      <patternFill patternType="solid">
        <fgColor rgb="FFD6E4D8"/>
        <bgColor rgb="FFC6EFCE"/>
      </patternFill>
    </fill>
    <fill>
      <patternFill patternType="solid">
        <fgColor rgb="FFFDF2D0"/>
        <bgColor rgb="FFF3F4F6"/>
      </patternFill>
    </fill>
    <fill>
      <patternFill patternType="solid">
        <fgColor rgb="FFDBEAFE"/>
        <bgColor rgb="FFEBF0F5"/>
      </patternFill>
    </fill>
    <fill>
      <patternFill patternType="solid">
        <fgColor rgb="FFF3F4F6"/>
        <bgColor rgb="FFF7F9FC"/>
      </patternFill>
    </fill>
    <fill>
      <patternFill patternType="solid">
        <fgColor rgb="FF8B1A1A"/>
        <bgColor rgb="FF800000"/>
      </patternFill>
    </fill>
    <fill>
      <patternFill patternType="solid">
        <fgColor rgb="FF1A5C25"/>
        <bgColor rgb="FF276221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D1B2A"/>
      </bottom>
      <diagonal/>
    </border>
    <border diagonalUp="false" diagonalDown="false">
      <left/>
      <right style="thin">
        <color rgb="FF8F9BB3"/>
      </right>
      <top/>
      <bottom/>
      <diagonal/>
    </border>
    <border diagonalUp="false" diagonalDown="false"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  <diagonal/>
    </border>
    <border diagonalUp="false" diagonalDown="false">
      <left style="thin">
        <color rgb="FF8F9BB3"/>
      </left>
      <right style="thin">
        <color rgb="FF8F9BB3"/>
      </right>
      <top style="thin">
        <color rgb="FF8F9BB3"/>
      </top>
      <bottom style="thin">
        <color rgb="FF8F9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4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1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4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4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Calibri"/>
        <charset val="1"/>
        <family val="0"/>
        <b val="1"/>
        <color rgb="FF1A5C25"/>
      </font>
      <fill>
        <patternFill>
          <bgColor rgb="FFD6E4D8"/>
        </patternFill>
      </fill>
    </dxf>
    <dxf>
      <font>
        <name val="Calibri"/>
        <charset val="1"/>
        <family val="0"/>
        <b val="1"/>
        <color rgb="FF7A5200"/>
      </font>
      <fill>
        <patternFill>
          <bgColor rgb="FFFDF2D0"/>
        </patternFill>
      </fill>
    </dxf>
    <dxf>
      <font>
        <name val="Calibri"/>
        <charset val="1"/>
        <family val="0"/>
        <b val="1"/>
        <color rgb="FF8B1A1A"/>
      </font>
      <fill>
        <patternFill>
          <bgColor rgb="FFF5D5D5"/>
        </patternFill>
      </fill>
    </dxf>
    <dxf>
      <font>
        <name val="Calibri"/>
        <charset val="1"/>
        <family val="0"/>
        <color rgb="FF276221"/>
        <sz val="10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1A5C25"/>
      </font>
      <fill>
        <patternFill>
          <bgColor rgb="FFD6E4D8"/>
        </patternFill>
      </fill>
    </dxf>
    <dxf>
      <font>
        <name val="Calibri"/>
        <charset val="1"/>
        <family val="0"/>
        <b val="1"/>
        <color rgb="FF8B1A1A"/>
      </font>
      <fill>
        <patternFill>
          <bgColor rgb="FFF5D5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A5200"/>
      <rgbColor rgb="FF800080"/>
      <rgbColor rgb="FF008080"/>
      <rgbColor rgb="FFD6E4D8"/>
      <rgbColor rgb="FF808080"/>
      <rgbColor rgb="FF9999FF"/>
      <rgbColor rgb="FF4B3D8F"/>
      <rgbColor rgb="FFFDF2D0"/>
      <rgbColor rgb="FFDBEAFE"/>
      <rgbColor rgb="FF660066"/>
      <rgbColor rgb="FFFF8080"/>
      <rgbColor rgb="FF1F3E6B"/>
      <rgbColor rgb="FFC8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5"/>
      <rgbColor rgb="FFC6EFCE"/>
      <rgbColor rgb="FFF3F4F6"/>
      <rgbColor rgb="FFF7F9FC"/>
      <rgbColor rgb="FFF5D5D5"/>
      <rgbColor rgb="FFCC99FF"/>
      <rgbColor rgb="FFFFC7CE"/>
      <rgbColor rgb="FF3366FF"/>
      <rgbColor rgb="FF33CCCC"/>
      <rgbColor rgb="FF99CC00"/>
      <rgbColor rgb="FFFFCC00"/>
      <rgbColor rgb="FFB8922A"/>
      <rgbColor rgb="FFFF6600"/>
      <rgbColor rgb="FF2E5E8E"/>
      <rgbColor rgb="FF8F9BB3"/>
      <rgbColor rgb="FF1C3557"/>
      <rgbColor rgb="FF2E8B3A"/>
      <rgbColor rgb="FF0D1B2A"/>
      <rgbColor rgb="FF1A5C25"/>
      <rgbColor rgb="FF8B1A1A"/>
      <rgbColor rgb="FF993366"/>
      <rgbColor rgb="FF1E3A8A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G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6" min="2" style="1" width="18"/>
    <col collapsed="false" customWidth="true" hidden="false" outlineLevel="0" max="7" min="7" style="1" width="4"/>
  </cols>
  <sheetData>
    <row r="1" customFormat="false" ht="15.75" hidden="false" customHeight="true" outlineLevel="0" collapsed="false">
      <c r="A1" s="2"/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2"/>
      <c r="B3" s="2"/>
      <c r="C3" s="2"/>
      <c r="D3" s="2"/>
      <c r="E3" s="2"/>
      <c r="F3" s="2"/>
      <c r="G3" s="2"/>
    </row>
    <row r="5" customFormat="false" ht="31.5" hidden="false" customHeight="true" outlineLevel="0" collapsed="false">
      <c r="B5" s="3" t="s">
        <v>0</v>
      </c>
      <c r="C5" s="3"/>
      <c r="D5" s="3"/>
      <c r="E5" s="3"/>
      <c r="F5" s="3"/>
    </row>
    <row r="6" customFormat="false" ht="21.75" hidden="false" customHeight="true" outlineLevel="0" collapsed="false">
      <c r="B6" s="4" t="s">
        <v>1</v>
      </c>
      <c r="C6" s="4"/>
      <c r="D6" s="4"/>
      <c r="E6" s="4"/>
      <c r="F6" s="4"/>
    </row>
    <row r="7" customFormat="false" ht="7.5" hidden="false" customHeight="true" outlineLevel="0" collapsed="false">
      <c r="B7" s="5"/>
      <c r="C7" s="5"/>
      <c r="D7" s="5"/>
      <c r="E7" s="5"/>
      <c r="F7" s="5"/>
    </row>
    <row r="8" customFormat="false" ht="15.75" hidden="false" customHeight="true" outlineLevel="0" collapsed="false">
      <c r="B8" s="6" t="s">
        <v>2</v>
      </c>
      <c r="C8" s="6"/>
      <c r="D8" s="6"/>
      <c r="E8" s="6"/>
      <c r="F8" s="6"/>
    </row>
    <row r="9" customFormat="false" ht="15.75" hidden="false" customHeight="true" outlineLevel="0" collapsed="false">
      <c r="B9" s="6" t="s">
        <v>3</v>
      </c>
      <c r="C9" s="6"/>
      <c r="D9" s="6"/>
      <c r="E9" s="6"/>
      <c r="F9" s="6"/>
    </row>
    <row r="11" customFormat="false" ht="7.5" hidden="false" customHeight="true" outlineLevel="0" collapsed="false"/>
    <row r="12" customFormat="false" ht="19.5" hidden="false" customHeight="true" outlineLevel="0" collapsed="false">
      <c r="B12" s="7" t="s">
        <v>4</v>
      </c>
      <c r="C12" s="7"/>
      <c r="D12" s="7"/>
      <c r="E12" s="7"/>
      <c r="F12" s="7"/>
    </row>
    <row r="13" customFormat="false" ht="21.75" hidden="false" customHeight="true" outlineLevel="0" collapsed="false">
      <c r="B13" s="8" t="s">
        <v>5</v>
      </c>
      <c r="C13" s="9" t="s">
        <v>6</v>
      </c>
      <c r="D13" s="9"/>
      <c r="E13" s="9"/>
      <c r="F13" s="9"/>
    </row>
    <row r="14" customFormat="false" ht="21.75" hidden="false" customHeight="true" outlineLevel="0" collapsed="false">
      <c r="B14" s="10" t="s">
        <v>7</v>
      </c>
      <c r="C14" s="11" t="s">
        <v>8</v>
      </c>
      <c r="D14" s="11"/>
      <c r="E14" s="11"/>
      <c r="F14" s="11"/>
    </row>
    <row r="15" customFormat="false" ht="21.75" hidden="false" customHeight="true" outlineLevel="0" collapsed="false">
      <c r="B15" s="8" t="s">
        <v>9</v>
      </c>
      <c r="C15" s="9" t="s">
        <v>10</v>
      </c>
      <c r="D15" s="9"/>
      <c r="E15" s="9"/>
      <c r="F15" s="9"/>
    </row>
    <row r="16" customFormat="false" ht="21.75" hidden="false" customHeight="true" outlineLevel="0" collapsed="false">
      <c r="B16" s="10" t="s">
        <v>11</v>
      </c>
      <c r="C16" s="11" t="s">
        <v>12</v>
      </c>
      <c r="D16" s="11"/>
      <c r="E16" s="11"/>
      <c r="F16" s="11"/>
    </row>
    <row r="17" customFormat="false" ht="21.75" hidden="false" customHeight="true" outlineLevel="0" collapsed="false">
      <c r="B17" s="8" t="s">
        <v>13</v>
      </c>
      <c r="C17" s="9" t="s">
        <v>14</v>
      </c>
      <c r="D17" s="9"/>
      <c r="E17" s="9"/>
      <c r="F17" s="9"/>
    </row>
    <row r="18" customFormat="false" ht="21.75" hidden="false" customHeight="true" outlineLevel="0" collapsed="false">
      <c r="B18" s="10" t="s">
        <v>15</v>
      </c>
      <c r="C18" s="11" t="s">
        <v>16</v>
      </c>
      <c r="D18" s="11"/>
      <c r="E18" s="11"/>
      <c r="F18" s="11"/>
    </row>
    <row r="19" customFormat="false" ht="21.75" hidden="false" customHeight="true" outlineLevel="0" collapsed="false">
      <c r="B19" s="8" t="s">
        <v>17</v>
      </c>
      <c r="C19" s="9" t="s">
        <v>18</v>
      </c>
      <c r="D19" s="9"/>
      <c r="E19" s="9"/>
      <c r="F19" s="9"/>
    </row>
    <row r="21" customFormat="false" ht="7.5" hidden="false" customHeight="true" outlineLevel="0" collapsed="false"/>
    <row r="22" customFormat="false" ht="19.5" hidden="false" customHeight="true" outlineLevel="0" collapsed="false">
      <c r="B22" s="7" t="s">
        <v>19</v>
      </c>
      <c r="C22" s="7"/>
      <c r="D22" s="7"/>
      <c r="E22" s="7"/>
      <c r="F22" s="7"/>
    </row>
    <row r="23" customFormat="false" ht="19.5" hidden="false" customHeight="true" outlineLevel="0" collapsed="false">
      <c r="B23" s="12" t="s">
        <v>20</v>
      </c>
      <c r="C23" s="13" t="s">
        <v>21</v>
      </c>
      <c r="D23" s="14" t="s">
        <v>22</v>
      </c>
      <c r="E23" s="14"/>
      <c r="F23" s="14"/>
    </row>
    <row r="24" customFormat="false" ht="19.5" hidden="false" customHeight="true" outlineLevel="0" collapsed="false">
      <c r="B24" s="15" t="s">
        <v>23</v>
      </c>
      <c r="C24" s="16" t="s">
        <v>24</v>
      </c>
      <c r="D24" s="17" t="s">
        <v>25</v>
      </c>
      <c r="E24" s="17"/>
      <c r="F24" s="17"/>
    </row>
    <row r="25" customFormat="false" ht="19.5" hidden="false" customHeight="true" outlineLevel="0" collapsed="false">
      <c r="B25" s="12" t="s">
        <v>26</v>
      </c>
      <c r="C25" s="13" t="s">
        <v>27</v>
      </c>
      <c r="D25" s="14" t="s">
        <v>28</v>
      </c>
      <c r="E25" s="14"/>
      <c r="F25" s="14"/>
    </row>
    <row r="26" customFormat="false" ht="19.5" hidden="false" customHeight="true" outlineLevel="0" collapsed="false">
      <c r="B26" s="15" t="s">
        <v>29</v>
      </c>
      <c r="C26" s="16" t="s">
        <v>30</v>
      </c>
      <c r="D26" s="17" t="s">
        <v>31</v>
      </c>
      <c r="E26" s="17"/>
      <c r="F26" s="17"/>
    </row>
    <row r="29" customFormat="false" ht="13.5" hidden="false" customHeight="true" outlineLevel="0" collapsed="false">
      <c r="A29" s="2"/>
      <c r="B29" s="2"/>
      <c r="C29" s="2"/>
      <c r="D29" s="2"/>
      <c r="E29" s="2"/>
      <c r="F29" s="2"/>
      <c r="G29" s="2"/>
    </row>
    <row r="30" customFormat="false" ht="13.5" hidden="false" customHeight="true" outlineLevel="0" collapsed="false">
      <c r="A30" s="2"/>
      <c r="B30" s="2"/>
      <c r="C30" s="2"/>
      <c r="D30" s="2"/>
      <c r="E30" s="2"/>
      <c r="F30" s="2"/>
      <c r="G30" s="2"/>
    </row>
    <row r="31" customFormat="false" ht="13.5" hidden="false" customHeight="true" outlineLevel="0" collapsed="false">
      <c r="A31" s="2"/>
      <c r="B31" s="2"/>
      <c r="C31" s="2"/>
      <c r="D31" s="2"/>
      <c r="E31" s="2"/>
      <c r="F31" s="2"/>
      <c r="G31" s="2"/>
    </row>
  </sheetData>
  <mergeCells count="24">
    <mergeCell ref="A1:G1"/>
    <mergeCell ref="A2:G2"/>
    <mergeCell ref="A3:G3"/>
    <mergeCell ref="B5:F5"/>
    <mergeCell ref="B6:F6"/>
    <mergeCell ref="B7:F7"/>
    <mergeCell ref="B8:F8"/>
    <mergeCell ref="B9:F9"/>
    <mergeCell ref="B12:F12"/>
    <mergeCell ref="C13:F13"/>
    <mergeCell ref="C14:F14"/>
    <mergeCell ref="C15:F15"/>
    <mergeCell ref="C16:F16"/>
    <mergeCell ref="C17:F17"/>
    <mergeCell ref="C18:F18"/>
    <mergeCell ref="C19:F19"/>
    <mergeCell ref="B22:F22"/>
    <mergeCell ref="D23:F23"/>
    <mergeCell ref="D24:F24"/>
    <mergeCell ref="D25:F25"/>
    <mergeCell ref="D26:F26"/>
    <mergeCell ref="A29:G29"/>
    <mergeCell ref="A30:G30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3557"/>
    <pageSetUpPr fitToPage="true"/>
  </sheetPr>
  <dimension ref="A1: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48"/>
  </cols>
  <sheetData>
    <row r="1" customFormat="false" ht="30" hidden="false" customHeight="true" outlineLevel="0" collapsed="false">
      <c r="A1" s="18" t="s">
        <v>32</v>
      </c>
      <c r="B1" s="18"/>
      <c r="C1" s="18"/>
    </row>
    <row r="2" customFormat="false" ht="15.75" hidden="false" customHeight="true" outlineLevel="0" collapsed="false">
      <c r="A2" s="19" t="s">
        <v>33</v>
      </c>
      <c r="B2" s="19"/>
      <c r="C2" s="19"/>
    </row>
    <row r="3" customFormat="false" ht="19.5" hidden="false" customHeight="true" outlineLevel="0" collapsed="false">
      <c r="A3" s="20" t="s">
        <v>34</v>
      </c>
      <c r="B3" s="21" t="s">
        <v>35</v>
      </c>
      <c r="C3" s="20" t="s">
        <v>36</v>
      </c>
    </row>
    <row r="4" customFormat="false" ht="16.5" hidden="false" customHeight="true" outlineLevel="0" collapsed="false">
      <c r="A4" s="22" t="s">
        <v>37</v>
      </c>
      <c r="B4" s="22"/>
      <c r="C4" s="22"/>
    </row>
    <row r="5" customFormat="false" ht="18" hidden="false" customHeight="true" outlineLevel="0" collapsed="false">
      <c r="A5" s="23" t="s">
        <v>38</v>
      </c>
      <c r="B5" s="24" t="n">
        <v>85</v>
      </c>
      <c r="C5" s="25" t="s">
        <v>39</v>
      </c>
    </row>
    <row r="6" customFormat="false" ht="18" hidden="false" customHeight="true" outlineLevel="0" collapsed="false">
      <c r="A6" s="23" t="s">
        <v>40</v>
      </c>
      <c r="B6" s="24" t="n">
        <v>52</v>
      </c>
      <c r="C6" s="25" t="s">
        <v>41</v>
      </c>
    </row>
    <row r="7" customFormat="false" ht="18" hidden="false" customHeight="true" outlineLevel="0" collapsed="false">
      <c r="A7" s="23" t="s">
        <v>42</v>
      </c>
      <c r="B7" s="26" t="n">
        <f aca="false">B5-B6</f>
        <v>33</v>
      </c>
      <c r="C7" s="25" t="s">
        <v>43</v>
      </c>
    </row>
    <row r="8" customFormat="false" ht="18" hidden="false" customHeight="true" outlineLevel="0" collapsed="false">
      <c r="A8" s="23" t="s">
        <v>44</v>
      </c>
      <c r="B8" s="24" t="n">
        <v>5</v>
      </c>
      <c r="C8" s="25" t="s">
        <v>45</v>
      </c>
    </row>
    <row r="9" customFormat="false" ht="18" hidden="false" customHeight="true" outlineLevel="0" collapsed="false">
      <c r="A9" s="23" t="s">
        <v>46</v>
      </c>
      <c r="B9" s="24" t="n">
        <v>6</v>
      </c>
      <c r="C9" s="25" t="s">
        <v>47</v>
      </c>
    </row>
    <row r="10" customFormat="false" ht="18" hidden="false" customHeight="true" outlineLevel="0" collapsed="false">
      <c r="A10" s="23" t="s">
        <v>48</v>
      </c>
      <c r="B10" s="24" t="n">
        <v>4</v>
      </c>
      <c r="C10" s="25" t="s">
        <v>49</v>
      </c>
    </row>
    <row r="11" customFormat="false" ht="16.5" hidden="false" customHeight="true" outlineLevel="0" collapsed="false">
      <c r="A11" s="22" t="s">
        <v>50</v>
      </c>
      <c r="B11" s="22"/>
      <c r="C11" s="22"/>
    </row>
    <row r="12" customFormat="false" ht="18" hidden="false" customHeight="true" outlineLevel="0" collapsed="false">
      <c r="A12" s="23" t="s">
        <v>51</v>
      </c>
      <c r="B12" s="24" t="n">
        <v>8</v>
      </c>
      <c r="C12" s="25" t="s">
        <v>52</v>
      </c>
    </row>
    <row r="13" customFormat="false" ht="18" hidden="false" customHeight="true" outlineLevel="0" collapsed="false">
      <c r="A13" s="23" t="s">
        <v>53</v>
      </c>
      <c r="B13" s="27" t="n">
        <v>500</v>
      </c>
      <c r="C13" s="25" t="s">
        <v>54</v>
      </c>
    </row>
    <row r="14" customFormat="false" ht="18" hidden="false" customHeight="true" outlineLevel="0" collapsed="false">
      <c r="A14" s="23" t="s">
        <v>55</v>
      </c>
      <c r="B14" s="28" t="n">
        <v>0.75</v>
      </c>
      <c r="C14" s="25" t="s">
        <v>56</v>
      </c>
    </row>
    <row r="15" customFormat="false" ht="18" hidden="false" customHeight="true" outlineLevel="0" collapsed="false">
      <c r="A15" s="23" t="s">
        <v>57</v>
      </c>
      <c r="B15" s="29" t="n">
        <f aca="false">B12*B13*B14</f>
        <v>3000</v>
      </c>
      <c r="C15" s="25" t="s">
        <v>58</v>
      </c>
    </row>
    <row r="16" customFormat="false" ht="16.5" hidden="false" customHeight="true" outlineLevel="0" collapsed="false">
      <c r="A16" s="22" t="s">
        <v>59</v>
      </c>
      <c r="B16" s="22"/>
      <c r="C16" s="22"/>
    </row>
    <row r="17" customFormat="false" ht="18" hidden="false" customHeight="true" outlineLevel="0" collapsed="false">
      <c r="A17" s="23" t="s">
        <v>60</v>
      </c>
      <c r="B17" s="24" t="n">
        <v>3</v>
      </c>
      <c r="C17" s="25" t="s">
        <v>61</v>
      </c>
    </row>
    <row r="18" customFormat="false" ht="18" hidden="false" customHeight="true" outlineLevel="0" collapsed="false">
      <c r="A18" s="23" t="s">
        <v>62</v>
      </c>
      <c r="B18" s="27" t="n">
        <v>4000</v>
      </c>
      <c r="C18" s="25" t="s">
        <v>63</v>
      </c>
    </row>
    <row r="19" customFormat="false" ht="18" hidden="false" customHeight="true" outlineLevel="0" collapsed="false">
      <c r="A19" s="23" t="s">
        <v>64</v>
      </c>
      <c r="B19" s="29" t="n">
        <f aca="false">B17*B18</f>
        <v>12000</v>
      </c>
      <c r="C19" s="25" t="s">
        <v>65</v>
      </c>
    </row>
    <row r="20" customFormat="false" ht="16.5" hidden="false" customHeight="true" outlineLevel="0" collapsed="false">
      <c r="A20" s="22" t="s">
        <v>66</v>
      </c>
      <c r="B20" s="22"/>
      <c r="C20" s="22"/>
    </row>
    <row r="21" customFormat="false" ht="18" hidden="false" customHeight="true" outlineLevel="0" collapsed="false">
      <c r="A21" s="23" t="s">
        <v>67</v>
      </c>
      <c r="B21" s="27" t="n">
        <v>2000</v>
      </c>
      <c r="C21" s="25" t="s">
        <v>68</v>
      </c>
    </row>
    <row r="22" customFormat="false" ht="18" hidden="false" customHeight="true" outlineLevel="0" collapsed="false">
      <c r="A22" s="23" t="s">
        <v>69</v>
      </c>
      <c r="B22" s="27" t="n">
        <v>20</v>
      </c>
      <c r="C22" s="25" t="s">
        <v>70</v>
      </c>
    </row>
    <row r="23" customFormat="false" ht="18" hidden="false" customHeight="true" outlineLevel="0" collapsed="false">
      <c r="A23" s="23" t="s">
        <v>71</v>
      </c>
      <c r="B23" s="29" t="n">
        <f aca="false">B5*B22</f>
        <v>1700</v>
      </c>
      <c r="C23" s="25" t="s">
        <v>72</v>
      </c>
    </row>
    <row r="24" customFormat="false" ht="18" hidden="false" customHeight="true" outlineLevel="0" collapsed="false">
      <c r="A24" s="23" t="s">
        <v>73</v>
      </c>
      <c r="B24" s="27" t="n">
        <v>800</v>
      </c>
      <c r="C24" s="25" t="s">
        <v>74</v>
      </c>
    </row>
    <row r="25" customFormat="false" ht="18" hidden="false" customHeight="true" outlineLevel="0" collapsed="false">
      <c r="A25" s="23" t="s">
        <v>75</v>
      </c>
      <c r="B25" s="27" t="n">
        <v>300</v>
      </c>
      <c r="C25" s="25" t="s">
        <v>76</v>
      </c>
    </row>
    <row r="26" customFormat="false" ht="16.5" hidden="false" customHeight="true" outlineLevel="0" collapsed="false">
      <c r="A26" s="22" t="s">
        <v>77</v>
      </c>
      <c r="B26" s="22"/>
      <c r="C26" s="22"/>
    </row>
    <row r="27" customFormat="false" ht="18" hidden="false" customHeight="true" outlineLevel="0" collapsed="false">
      <c r="A27" s="23" t="s">
        <v>78</v>
      </c>
      <c r="B27" s="24" t="n">
        <v>4</v>
      </c>
      <c r="C27" s="25" t="s">
        <v>79</v>
      </c>
    </row>
    <row r="28" customFormat="false" ht="18" hidden="false" customHeight="true" outlineLevel="0" collapsed="false">
      <c r="A28" s="23" t="s">
        <v>80</v>
      </c>
      <c r="B28" s="27" t="n">
        <v>600</v>
      </c>
      <c r="C28" s="25" t="s">
        <v>81</v>
      </c>
    </row>
    <row r="29" customFormat="false" ht="18" hidden="false" customHeight="true" outlineLevel="0" collapsed="false">
      <c r="A29" s="23" t="s">
        <v>82</v>
      </c>
      <c r="B29" s="29" t="n">
        <f aca="false">B27*B28</f>
        <v>2400</v>
      </c>
      <c r="C29" s="25" t="s">
        <v>83</v>
      </c>
    </row>
    <row r="30" customFormat="false" ht="16.5" hidden="false" customHeight="true" outlineLevel="0" collapsed="false">
      <c r="A30" s="22" t="s">
        <v>84</v>
      </c>
      <c r="B30" s="22"/>
      <c r="C30" s="22"/>
    </row>
    <row r="31" customFormat="false" ht="18" hidden="false" customHeight="true" outlineLevel="0" collapsed="false">
      <c r="A31" s="23" t="s">
        <v>85</v>
      </c>
      <c r="B31" s="27" t="n">
        <v>120</v>
      </c>
      <c r="C31" s="25" t="s">
        <v>86</v>
      </c>
    </row>
    <row r="32" customFormat="false" ht="18" hidden="false" customHeight="true" outlineLevel="0" collapsed="false">
      <c r="A32" s="23" t="s">
        <v>87</v>
      </c>
      <c r="B32" s="27" t="n">
        <v>60</v>
      </c>
      <c r="C32" s="25" t="s">
        <v>88</v>
      </c>
    </row>
    <row r="33" customFormat="false" ht="18" hidden="false" customHeight="true" outlineLevel="0" collapsed="false">
      <c r="A33" s="23" t="s">
        <v>89</v>
      </c>
      <c r="B33" s="27" t="n">
        <v>40</v>
      </c>
      <c r="C33" s="25" t="s">
        <v>90</v>
      </c>
    </row>
    <row r="34" customFormat="false" ht="16.5" hidden="false" customHeight="true" outlineLevel="0" collapsed="false">
      <c r="A34" s="22" t="s">
        <v>91</v>
      </c>
      <c r="B34" s="22"/>
      <c r="C34" s="22"/>
    </row>
    <row r="35" customFormat="false" ht="18" hidden="false" customHeight="true" outlineLevel="0" collapsed="false">
      <c r="A35" s="23" t="s">
        <v>92</v>
      </c>
      <c r="B35" s="27" t="n">
        <v>150</v>
      </c>
      <c r="C35" s="25" t="s">
        <v>93</v>
      </c>
    </row>
    <row r="36" customFormat="false" ht="18" hidden="false" customHeight="true" outlineLevel="0" collapsed="false">
      <c r="A36" s="23" t="s">
        <v>94</v>
      </c>
      <c r="B36" s="27" t="n">
        <v>400</v>
      </c>
      <c r="C36" s="25" t="s">
        <v>95</v>
      </c>
    </row>
    <row r="37" customFormat="false" ht="16.5" hidden="false" customHeight="true" outlineLevel="0" collapsed="false">
      <c r="A37" s="22" t="s">
        <v>96</v>
      </c>
      <c r="B37" s="22"/>
      <c r="C37" s="22"/>
    </row>
    <row r="38" customFormat="false" ht="18" hidden="false" customHeight="true" outlineLevel="0" collapsed="false">
      <c r="A38" s="23" t="s">
        <v>97</v>
      </c>
      <c r="B38" s="28" t="n">
        <v>0.08</v>
      </c>
      <c r="C38" s="25" t="s">
        <v>98</v>
      </c>
    </row>
    <row r="39" customFormat="false" ht="18" hidden="false" customHeight="true" outlineLevel="0" collapsed="false">
      <c r="A39" s="23" t="s">
        <v>99</v>
      </c>
      <c r="B39" s="28" t="n">
        <v>0.05</v>
      </c>
      <c r="C39" s="25" t="s">
        <v>100</v>
      </c>
    </row>
    <row r="40" customFormat="false" ht="18" hidden="false" customHeight="true" outlineLevel="0" collapsed="false">
      <c r="A40" s="23" t="s">
        <v>101</v>
      </c>
      <c r="B40" s="28" t="n">
        <v>0</v>
      </c>
      <c r="C40" s="25" t="s">
        <v>102</v>
      </c>
    </row>
  </sheetData>
  <mergeCells count="10">
    <mergeCell ref="A1:C1"/>
    <mergeCell ref="A2:C2"/>
    <mergeCell ref="A4:C4"/>
    <mergeCell ref="A11:C11"/>
    <mergeCell ref="A16:C16"/>
    <mergeCell ref="A20:C20"/>
    <mergeCell ref="A26:C26"/>
    <mergeCell ref="A30:C30"/>
    <mergeCell ref="A34:C34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E"/>
    <pageSetUpPr fitToPage="tru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6" min="3" style="1" width="16"/>
    <col collapsed="false" customWidth="true" hidden="false" outlineLevel="0" max="7" min="7" style="1" width="18"/>
  </cols>
  <sheetData>
    <row r="1" customFormat="false" ht="30" hidden="false" customHeight="true" outlineLevel="0" collapsed="false">
      <c r="A1" s="18" t="s">
        <v>103</v>
      </c>
      <c r="B1" s="18"/>
      <c r="C1" s="18"/>
      <c r="D1" s="18"/>
      <c r="E1" s="18"/>
      <c r="F1" s="18"/>
      <c r="G1" s="18"/>
    </row>
    <row r="2" customFormat="false" ht="13.5" hidden="false" customHeight="true" outlineLevel="0" collapsed="false">
      <c r="A2" s="19" t="s">
        <v>104</v>
      </c>
      <c r="B2" s="19"/>
      <c r="C2" s="19"/>
      <c r="D2" s="19"/>
      <c r="E2" s="19"/>
      <c r="F2" s="19"/>
      <c r="G2" s="19"/>
    </row>
    <row r="3" customFormat="false" ht="7.5" hidden="false" customHeight="true" outlineLevel="0" collapsed="false"/>
    <row r="4" customFormat="false" ht="21.75" hidden="false" customHeight="true" outlineLevel="0" collapsed="false">
      <c r="A4" s="20" t="s">
        <v>105</v>
      </c>
      <c r="B4" s="21" t="s">
        <v>106</v>
      </c>
      <c r="C4" s="21" t="s">
        <v>107</v>
      </c>
      <c r="D4" s="21" t="s">
        <v>108</v>
      </c>
      <c r="E4" s="21" t="s">
        <v>109</v>
      </c>
      <c r="F4" s="21" t="s">
        <v>110</v>
      </c>
      <c r="G4" s="30" t="s">
        <v>111</v>
      </c>
    </row>
    <row r="5" customFormat="false" ht="16.5" hidden="false" customHeight="true" outlineLevel="0" collapsed="false">
      <c r="A5" s="22" t="s">
        <v>112</v>
      </c>
      <c r="B5" s="22"/>
      <c r="C5" s="22"/>
      <c r="D5" s="22"/>
      <c r="E5" s="22"/>
      <c r="F5" s="22"/>
      <c r="G5" s="22"/>
    </row>
    <row r="6" customFormat="false" ht="15" hidden="false" customHeight="true" outlineLevel="0" collapsed="false">
      <c r="A6" s="23" t="s">
        <v>113</v>
      </c>
      <c r="B6" s="29" t="n">
        <f aca="false">Assumptions!B15</f>
        <v>3000</v>
      </c>
      <c r="C6" s="29" t="n">
        <f aca="false">Assumptions!B15*0.1</f>
        <v>300</v>
      </c>
      <c r="D6" s="29" t="n">
        <f aca="false">Assumptions!B15*0.25</f>
        <v>750</v>
      </c>
      <c r="E6" s="29" t="n">
        <f aca="false">Assumptions!B15*0.4</f>
        <v>1200</v>
      </c>
      <c r="F6" s="29" t="n">
        <f aca="false">Assumptions!B15*0.25</f>
        <v>750</v>
      </c>
      <c r="G6" s="29" t="n">
        <f aca="false">SUM(C6:F6)</f>
        <v>3000</v>
      </c>
    </row>
    <row r="7" customFormat="false" ht="15" hidden="false" customHeight="true" outlineLevel="0" collapsed="false">
      <c r="A7" s="23" t="s">
        <v>114</v>
      </c>
      <c r="B7" s="29" t="n">
        <f aca="false">Assumptions!B19</f>
        <v>12000</v>
      </c>
      <c r="C7" s="29" t="n">
        <f aca="false">Assumptions!B19*0.4</f>
        <v>4800</v>
      </c>
      <c r="D7" s="29" t="n">
        <f aca="false">Assumptions!B19*0</f>
        <v>0</v>
      </c>
      <c r="E7" s="29" t="n">
        <f aca="false">Assumptions!B19*0.4</f>
        <v>4800</v>
      </c>
      <c r="F7" s="29" t="n">
        <f aca="false">Assumptions!B19*0.2</f>
        <v>2400</v>
      </c>
      <c r="G7" s="29" t="n">
        <f aca="false">SUM(C7:F7)</f>
        <v>12000</v>
      </c>
    </row>
    <row r="8" customFormat="false" ht="15" hidden="false" customHeight="true" outlineLevel="0" collapsed="false">
      <c r="A8" s="23" t="s">
        <v>115</v>
      </c>
      <c r="B8" s="29" t="n">
        <f aca="false">Assumptions!B21</f>
        <v>2000</v>
      </c>
      <c r="C8" s="29" t="n">
        <f aca="false">Assumptions!B21*1</f>
        <v>2000</v>
      </c>
      <c r="D8" s="29" t="n">
        <f aca="false">Assumptions!B21*0</f>
        <v>0</v>
      </c>
      <c r="E8" s="29" t="n">
        <f aca="false">Assumptions!B21*0</f>
        <v>0</v>
      </c>
      <c r="F8" s="29" t="n">
        <f aca="false">Assumptions!B21*0</f>
        <v>0</v>
      </c>
      <c r="G8" s="29" t="n">
        <f aca="false">SUM(C8:F8)</f>
        <v>2000</v>
      </c>
    </row>
    <row r="9" customFormat="false" ht="15" hidden="false" customHeight="true" outlineLevel="0" collapsed="false">
      <c r="A9" s="23" t="s">
        <v>116</v>
      </c>
      <c r="B9" s="29" t="n">
        <f aca="false">Assumptions!B23</f>
        <v>1700</v>
      </c>
      <c r="C9" s="29" t="n">
        <f aca="false">Assumptions!B23*1</f>
        <v>1700</v>
      </c>
      <c r="D9" s="29" t="n">
        <f aca="false">Assumptions!B23*0</f>
        <v>0</v>
      </c>
      <c r="E9" s="29" t="n">
        <f aca="false">Assumptions!B23*0</f>
        <v>0</v>
      </c>
      <c r="F9" s="29" t="n">
        <f aca="false">Assumptions!B23*0</f>
        <v>0</v>
      </c>
      <c r="G9" s="29" t="n">
        <f aca="false">SUM(C9:F9)</f>
        <v>1700</v>
      </c>
    </row>
    <row r="10" customFormat="false" ht="15" hidden="false" customHeight="true" outlineLevel="0" collapsed="false">
      <c r="A10" s="23" t="s">
        <v>117</v>
      </c>
      <c r="B10" s="29" t="n">
        <f aca="false">Assumptions!B24</f>
        <v>800</v>
      </c>
      <c r="C10" s="29" t="n">
        <f aca="false">Assumptions!B24*0</f>
        <v>0</v>
      </c>
      <c r="D10" s="29" t="n">
        <f aca="false">Assumptions!B24*0.5</f>
        <v>400</v>
      </c>
      <c r="E10" s="29" t="n">
        <f aca="false">Assumptions!B24*0.5</f>
        <v>400</v>
      </c>
      <c r="F10" s="29" t="n">
        <f aca="false">Assumptions!B24*0</f>
        <v>0</v>
      </c>
      <c r="G10" s="29" t="n">
        <f aca="false">SUM(C10:F10)</f>
        <v>800</v>
      </c>
    </row>
    <row r="11" customFormat="false" ht="15" hidden="false" customHeight="true" outlineLevel="0" collapsed="false">
      <c r="A11" s="23" t="s">
        <v>118</v>
      </c>
      <c r="B11" s="29" t="n">
        <f aca="false">Assumptions!B25</f>
        <v>300</v>
      </c>
      <c r="C11" s="29" t="n">
        <f aca="false">Assumptions!B25/4</f>
        <v>75</v>
      </c>
      <c r="D11" s="29" t="n">
        <f aca="false">Assumptions!B25/4</f>
        <v>75</v>
      </c>
      <c r="E11" s="29" t="n">
        <f aca="false">Assumptions!B25/4</f>
        <v>75</v>
      </c>
      <c r="F11" s="29" t="n">
        <f aca="false">Assumptions!B25/4</f>
        <v>75</v>
      </c>
      <c r="G11" s="29" t="n">
        <f aca="false">SUM(C11:F11)</f>
        <v>300</v>
      </c>
    </row>
    <row r="12" customFormat="false" ht="19.5" hidden="false" customHeight="true" outlineLevel="0" collapsed="false">
      <c r="A12" s="31" t="s">
        <v>119</v>
      </c>
      <c r="B12" s="32" t="s">
        <v>120</v>
      </c>
      <c r="C12" s="33" t="n">
        <f aca="false">SUM(C6:C11)</f>
        <v>8875</v>
      </c>
      <c r="D12" s="33" t="n">
        <f aca="false">SUM(D6:D11)</f>
        <v>1225</v>
      </c>
      <c r="E12" s="33" t="n">
        <f aca="false">SUM(E6:E11)</f>
        <v>6475</v>
      </c>
      <c r="F12" s="33" t="n">
        <f aca="false">SUM(F6:F11)</f>
        <v>3225</v>
      </c>
      <c r="G12" s="34" t="n">
        <f aca="false">SUM(C12:F12)</f>
        <v>19800</v>
      </c>
    </row>
    <row r="14" customFormat="false" ht="16.5" hidden="false" customHeight="true" outlineLevel="0" collapsed="false">
      <c r="A14" s="22" t="s">
        <v>121</v>
      </c>
      <c r="B14" s="22"/>
      <c r="C14" s="22"/>
      <c r="D14" s="22"/>
      <c r="E14" s="22"/>
      <c r="F14" s="22"/>
      <c r="G14" s="22"/>
    </row>
    <row r="15" customFormat="false" ht="15" hidden="false" customHeight="true" outlineLevel="0" collapsed="false">
      <c r="A15" s="23" t="s">
        <v>122</v>
      </c>
      <c r="B15" s="29" t="n">
        <f aca="false">Assumptions!B29</f>
        <v>2400</v>
      </c>
      <c r="C15" s="29" t="n">
        <f aca="false">Assumptions!B29*0.25</f>
        <v>600</v>
      </c>
      <c r="D15" s="29" t="n">
        <f aca="false">Assumptions!B29*0.3</f>
        <v>720</v>
      </c>
      <c r="E15" s="29" t="n">
        <f aca="false">Assumptions!B29*0.3</f>
        <v>720</v>
      </c>
      <c r="F15" s="29" t="n">
        <f aca="false">Assumptions!B29*0.15</f>
        <v>360</v>
      </c>
      <c r="G15" s="29" t="n">
        <f aca="false">SUM(C15:F15)</f>
        <v>2400</v>
      </c>
    </row>
    <row r="16" customFormat="false" ht="15" hidden="false" customHeight="true" outlineLevel="0" collapsed="false">
      <c r="A16" s="23" t="s">
        <v>123</v>
      </c>
      <c r="B16" s="35" t="s">
        <v>124</v>
      </c>
      <c r="C16" s="29" t="n">
        <f aca="false">Assumptions!B35*Assumptions!B12*0.1</f>
        <v>120</v>
      </c>
      <c r="D16" s="29" t="n">
        <f aca="false">Assumptions!B35*Assumptions!B12*0.25</f>
        <v>300</v>
      </c>
      <c r="E16" s="29" t="n">
        <f aca="false">Assumptions!B35*Assumptions!B12*0.4</f>
        <v>480</v>
      </c>
      <c r="F16" s="29" t="n">
        <f aca="false">Assumptions!B35*Assumptions!B12*0.25</f>
        <v>300</v>
      </c>
      <c r="G16" s="29" t="n">
        <f aca="false">SUM(C16:F16)</f>
        <v>1200</v>
      </c>
    </row>
    <row r="17" customFormat="false" ht="15" hidden="false" customHeight="true" outlineLevel="0" collapsed="false">
      <c r="A17" s="23" t="s">
        <v>125</v>
      </c>
      <c r="B17" s="35" t="s">
        <v>126</v>
      </c>
      <c r="C17" s="29" t="n">
        <f aca="false">Assumptions!B36/4</f>
        <v>100</v>
      </c>
      <c r="D17" s="29" t="n">
        <f aca="false">Assumptions!B36/4</f>
        <v>100</v>
      </c>
      <c r="E17" s="29" t="n">
        <f aca="false">Assumptions!B36/4</f>
        <v>100</v>
      </c>
      <c r="F17" s="29" t="n">
        <f aca="false">Assumptions!B36/4</f>
        <v>100</v>
      </c>
      <c r="G17" s="29" t="n">
        <f aca="false">SUM(C17:F17)</f>
        <v>400</v>
      </c>
    </row>
    <row r="18" customFormat="false" ht="15" hidden="false" customHeight="true" outlineLevel="0" collapsed="false">
      <c r="A18" s="23" t="s">
        <v>127</v>
      </c>
      <c r="B18" s="35" t="s">
        <v>128</v>
      </c>
      <c r="C18" s="29" t="n">
        <f aca="false">Assumptions!B31</f>
        <v>120</v>
      </c>
      <c r="D18" s="29" t="n">
        <f aca="false">Assumptions!B31</f>
        <v>120</v>
      </c>
      <c r="E18" s="29" t="n">
        <f aca="false">Assumptions!B31</f>
        <v>120</v>
      </c>
      <c r="F18" s="29" t="n">
        <f aca="false">Assumptions!B31</f>
        <v>120</v>
      </c>
      <c r="G18" s="29" t="n">
        <f aca="false">SUM(C18:F18)</f>
        <v>480</v>
      </c>
    </row>
    <row r="19" customFormat="false" ht="15" hidden="false" customHeight="true" outlineLevel="0" collapsed="false">
      <c r="A19" s="23" t="s">
        <v>129</v>
      </c>
      <c r="B19" s="35" t="s">
        <v>128</v>
      </c>
      <c r="C19" s="29" t="n">
        <f aca="false">Assumptions!B32</f>
        <v>60</v>
      </c>
      <c r="D19" s="29" t="n">
        <f aca="false">Assumptions!B32</f>
        <v>60</v>
      </c>
      <c r="E19" s="29" t="n">
        <f aca="false">Assumptions!B32</f>
        <v>60</v>
      </c>
      <c r="F19" s="29" t="n">
        <f aca="false">Assumptions!B32</f>
        <v>60</v>
      </c>
      <c r="G19" s="29" t="n">
        <f aca="false">SUM(C19:F19)</f>
        <v>240</v>
      </c>
    </row>
    <row r="20" customFormat="false" ht="15" hidden="false" customHeight="true" outlineLevel="0" collapsed="false">
      <c r="A20" s="23" t="s">
        <v>130</v>
      </c>
      <c r="B20" s="35" t="s">
        <v>128</v>
      </c>
      <c r="C20" s="29" t="n">
        <f aca="false">Assumptions!B33</f>
        <v>40</v>
      </c>
      <c r="D20" s="29" t="n">
        <f aca="false">Assumptions!B33</f>
        <v>40</v>
      </c>
      <c r="E20" s="29" t="n">
        <f aca="false">Assumptions!B33</f>
        <v>40</v>
      </c>
      <c r="F20" s="29" t="n">
        <f aca="false">Assumptions!B33</f>
        <v>40</v>
      </c>
      <c r="G20" s="29" t="n">
        <f aca="false">SUM(C20:F20)</f>
        <v>160</v>
      </c>
    </row>
    <row r="21" customFormat="false" ht="15" hidden="false" customHeight="true" outlineLevel="0" collapsed="false">
      <c r="A21" s="23" t="s">
        <v>131</v>
      </c>
      <c r="B21" s="35" t="s">
        <v>132</v>
      </c>
      <c r="C21" s="29" t="n">
        <f aca="false">SUM(C15:C20)*Assumptions!B38</f>
        <v>83.2</v>
      </c>
      <c r="D21" s="29" t="n">
        <f aca="false">SUM(D15:D20)*Assumptions!B38</f>
        <v>107.2</v>
      </c>
      <c r="E21" s="29" t="n">
        <f aca="false">SUM(E15:E20)*Assumptions!B38</f>
        <v>121.6</v>
      </c>
      <c r="F21" s="29" t="n">
        <f aca="false">SUM(F15:F20)*Assumptions!B38</f>
        <v>78.4</v>
      </c>
      <c r="G21" s="29" t="n">
        <f aca="false">SUM(C21:F21)</f>
        <v>390.4</v>
      </c>
    </row>
    <row r="22" customFormat="false" ht="19.5" hidden="false" customHeight="true" outlineLevel="0" collapsed="false">
      <c r="A22" s="31" t="s">
        <v>133</v>
      </c>
      <c r="B22" s="32" t="s">
        <v>120</v>
      </c>
      <c r="C22" s="33" t="n">
        <f aca="false">SUM(C15:C21)</f>
        <v>1123.2</v>
      </c>
      <c r="D22" s="33" t="n">
        <f aca="false">SUM(D15:D21)</f>
        <v>1447.2</v>
      </c>
      <c r="E22" s="33" t="n">
        <f aca="false">SUM(E15:E21)</f>
        <v>1641.6</v>
      </c>
      <c r="F22" s="33" t="n">
        <f aca="false">SUM(F15:F21)</f>
        <v>1058.4</v>
      </c>
      <c r="G22" s="34" t="n">
        <f aca="false">SUM(C22:F22)</f>
        <v>5270.4</v>
      </c>
    </row>
    <row r="24" customFormat="false" ht="16.5" hidden="false" customHeight="true" outlineLevel="0" collapsed="false">
      <c r="A24" s="22" t="s">
        <v>134</v>
      </c>
      <c r="B24" s="22"/>
      <c r="C24" s="22"/>
      <c r="D24" s="22"/>
      <c r="E24" s="22"/>
      <c r="F24" s="22"/>
      <c r="G24" s="22"/>
    </row>
    <row r="25" customFormat="false" ht="15" hidden="false" customHeight="true" outlineLevel="0" collapsed="false">
      <c r="A25" s="36" t="s">
        <v>135</v>
      </c>
      <c r="B25" s="35" t="s">
        <v>136</v>
      </c>
      <c r="C25" s="37" t="n">
        <f aca="false">C12-C22</f>
        <v>7751.8</v>
      </c>
      <c r="D25" s="37" t="n">
        <f aca="false">D12-D22</f>
        <v>-222.2</v>
      </c>
      <c r="E25" s="37" t="n">
        <f aca="false">E12-E22</f>
        <v>4833.4</v>
      </c>
      <c r="F25" s="37" t="n">
        <f aca="false">F12-F22</f>
        <v>2166.6</v>
      </c>
      <c r="G25" s="34" t="n">
        <f aca="false">G12-G22</f>
        <v>14529.6</v>
      </c>
    </row>
    <row r="26" customFormat="false" ht="15" hidden="false" customHeight="true" outlineLevel="0" collapsed="false">
      <c r="A26" s="38" t="s">
        <v>137</v>
      </c>
      <c r="B26" s="35" t="s">
        <v>138</v>
      </c>
      <c r="C26" s="39" t="n">
        <f aca="false">C25</f>
        <v>7751.8</v>
      </c>
      <c r="D26" s="39" t="n">
        <f aca="false">C26+D25</f>
        <v>7529.6</v>
      </c>
      <c r="E26" s="39" t="n">
        <f aca="false">D26+E25</f>
        <v>12363</v>
      </c>
      <c r="F26" s="39" t="n">
        <f aca="false">E26+F25</f>
        <v>14529.6</v>
      </c>
      <c r="G26" s="34" t="n">
        <f aca="false">F26</f>
        <v>14529.6</v>
      </c>
    </row>
    <row r="27" customFormat="false" ht="15" hidden="false" customHeight="true" outlineLevel="0" collapsed="false">
      <c r="A27" s="38" t="s">
        <v>139</v>
      </c>
      <c r="B27" s="35" t="s">
        <v>140</v>
      </c>
      <c r="C27" s="40" t="n">
        <f aca="false">IFERROR(C25/C12,0)</f>
        <v>0.873442253521127</v>
      </c>
      <c r="D27" s="40" t="n">
        <f aca="false">IFERROR(D25/D12,0)</f>
        <v>-0.181387755102041</v>
      </c>
      <c r="E27" s="40" t="n">
        <f aca="false">IFERROR(E25/E12,0)</f>
        <v>0.746471042471043</v>
      </c>
      <c r="F27" s="40" t="n">
        <f aca="false">IFERROR(F25/F12,0)</f>
        <v>0.671813953488372</v>
      </c>
      <c r="G27" s="41" t="n">
        <f aca="false">IFERROR(G25/G12,0)</f>
        <v>0.733818181818182</v>
      </c>
    </row>
    <row r="28" customFormat="false" ht="15" hidden="false" customHeight="true" outlineLevel="0" collapsed="false">
      <c r="A28" s="38" t="s">
        <v>141</v>
      </c>
      <c r="B28" s="35" t="s">
        <v>142</v>
      </c>
      <c r="C28" s="40" t="n">
        <f aca="false">IFERROR(C22/C12,0)</f>
        <v>0.126557746478873</v>
      </c>
      <c r="D28" s="40" t="n">
        <f aca="false">IFERROR(D22/D12,0)</f>
        <v>1.18138775510204</v>
      </c>
      <c r="E28" s="40" t="n">
        <f aca="false">IFERROR(E22/E12,0)</f>
        <v>0.253528957528958</v>
      </c>
      <c r="F28" s="40" t="n">
        <f aca="false">IFERROR(F22/F12,0)</f>
        <v>0.328186046511628</v>
      </c>
      <c r="G28" s="41" t="n">
        <f aca="false">IFERROR(G22/G12,0)</f>
        <v>0.266181818181818</v>
      </c>
    </row>
  </sheetData>
  <mergeCells count="5">
    <mergeCell ref="A1:G1"/>
    <mergeCell ref="A2:G2"/>
    <mergeCell ref="A5:G5"/>
    <mergeCell ref="A14:G14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22A"/>
    <pageSetUpPr fitToPage="true"/>
  </sheetPr>
  <dimension ref="B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6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5" min="5" style="1" width="44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4"/>
  </cols>
  <sheetData>
    <row r="1" customFormat="false" ht="30" hidden="false" customHeight="true" outlineLevel="0" collapsed="false">
      <c r="B1" s="18" t="s">
        <v>143</v>
      </c>
      <c r="C1" s="18"/>
      <c r="D1" s="18"/>
      <c r="E1" s="18"/>
      <c r="F1" s="18"/>
      <c r="G1" s="18"/>
    </row>
    <row r="2" customFormat="false" ht="13.5" hidden="false" customHeight="true" outlineLevel="0" collapsed="false">
      <c r="B2" s="19" t="s">
        <v>144</v>
      </c>
      <c r="C2" s="19"/>
      <c r="D2" s="19"/>
      <c r="E2" s="19"/>
      <c r="F2" s="19"/>
      <c r="G2" s="19"/>
    </row>
    <row r="3" customFormat="false" ht="7.5" hidden="false" customHeight="true" outlineLevel="0" collapsed="false"/>
    <row r="4" customFormat="false" ht="21.75" hidden="false" customHeight="true" outlineLevel="0" collapsed="false">
      <c r="B4" s="21" t="s">
        <v>145</v>
      </c>
      <c r="C4" s="21" t="s">
        <v>146</v>
      </c>
      <c r="D4" s="21" t="s">
        <v>35</v>
      </c>
      <c r="E4" s="21" t="s">
        <v>147</v>
      </c>
      <c r="F4" s="21" t="s">
        <v>148</v>
      </c>
      <c r="G4" s="21" t="s">
        <v>149</v>
      </c>
    </row>
    <row r="5" customFormat="false" ht="21.75" hidden="false" customHeight="true" outlineLevel="0" collapsed="false">
      <c r="B5" s="42" t="s">
        <v>20</v>
      </c>
      <c r="C5" s="31" t="s">
        <v>150</v>
      </c>
      <c r="D5" s="43" t="n">
        <f aca="false">IFERROR('P&amp;L Model'!G7/'P&amp;L Model'!G22,0)</f>
        <v>2.27686703096539</v>
      </c>
      <c r="E5" s="44" t="s">
        <v>151</v>
      </c>
      <c r="F5" s="45" t="s">
        <v>152</v>
      </c>
      <c r="G5" s="45" t="str">
        <f aca="false">IFERROR(IF(D5&gt;=0.6,"On Target","Below Target"),"-")</f>
        <v>On Target</v>
      </c>
    </row>
    <row r="6" customFormat="false" ht="21.75" hidden="false" customHeight="true" outlineLevel="0" collapsed="false">
      <c r="B6" s="42" t="s">
        <v>23</v>
      </c>
      <c r="C6" s="46" t="s">
        <v>153</v>
      </c>
      <c r="D6" s="47" t="n">
        <f aca="false">IFERROR('P&amp;L Model'!G22/Assumptions!B5,0)</f>
        <v>62.0047058823529</v>
      </c>
      <c r="E6" s="48" t="s">
        <v>154</v>
      </c>
      <c r="F6" s="49" t="s">
        <v>155</v>
      </c>
      <c r="G6" s="49" t="str">
        <f aca="false">IFERROR(IF(D6&lt;=100,"On Target","Above Target"),"-")</f>
        <v>On Target</v>
      </c>
    </row>
    <row r="7" customFormat="false" ht="21.75" hidden="false" customHeight="true" outlineLevel="0" collapsed="false">
      <c r="B7" s="42" t="s">
        <v>26</v>
      </c>
      <c r="C7" s="31" t="s">
        <v>156</v>
      </c>
      <c r="D7" s="50" t="n">
        <f aca="false">'P&amp;L Model'!G25</f>
        <v>14529.6</v>
      </c>
      <c r="E7" s="44" t="s">
        <v>157</v>
      </c>
      <c r="F7" s="45" t="s">
        <v>158</v>
      </c>
      <c r="G7" s="45" t="str">
        <f aca="false">IFERROR(IF(D7&gt;0,"Surplus","Deficit"),"-")</f>
        <v>Surplus</v>
      </c>
    </row>
    <row r="8" customFormat="false" ht="21.75" hidden="false" customHeight="true" outlineLevel="0" collapsed="false">
      <c r="B8" s="42" t="s">
        <v>29</v>
      </c>
      <c r="C8" s="46" t="s">
        <v>139</v>
      </c>
      <c r="D8" s="51" t="n">
        <f aca="false">IFERROR('P&amp;L Model'!G25/'P&amp;L Model'!G12,0)</f>
        <v>0.733818181818182</v>
      </c>
      <c r="E8" s="48" t="s">
        <v>159</v>
      </c>
      <c r="F8" s="49" t="s">
        <v>160</v>
      </c>
      <c r="G8" s="49" t="str">
        <f aca="false">IFERROR(IF(D8&gt;=Assumptions!B39,"On Target","Below Target"),"-")</f>
        <v>On Target</v>
      </c>
    </row>
    <row r="9" customFormat="false" ht="21.75" hidden="false" customHeight="true" outlineLevel="0" collapsed="false">
      <c r="B9" s="42" t="s">
        <v>161</v>
      </c>
      <c r="C9" s="31" t="s">
        <v>162</v>
      </c>
      <c r="D9" s="50" t="n">
        <f aca="false">IFERROR('P&amp;L Model'!G12/Assumptions!B12,0)</f>
        <v>2475</v>
      </c>
      <c r="E9" s="44" t="s">
        <v>163</v>
      </c>
      <c r="F9" s="45" t="s">
        <v>164</v>
      </c>
      <c r="G9" s="45" t="str">
        <f aca="false">IFERROR(IF(D9&gt;=1200,"On Target","Below Target"),"-")</f>
        <v>On Target</v>
      </c>
    </row>
    <row r="10" customFormat="false" ht="21.75" hidden="false" customHeight="true" outlineLevel="0" collapsed="false">
      <c r="B10" s="42" t="s">
        <v>165</v>
      </c>
      <c r="C10" s="46" t="s">
        <v>166</v>
      </c>
      <c r="D10" s="51" t="n">
        <f aca="false">IFERROR(('P&amp;L Model'!G7+'P&amp;L Model'!G8)/'P&amp;L Model'!G12,0)</f>
        <v>0.707070707070707</v>
      </c>
      <c r="E10" s="48" t="s">
        <v>167</v>
      </c>
      <c r="F10" s="49" t="s">
        <v>168</v>
      </c>
      <c r="G10" s="49" t="str">
        <f aca="false">IFERROR(IF(D10&gt;=0.5,"Healthy","Review Mix"),"-")</f>
        <v>Healthy</v>
      </c>
    </row>
    <row r="11" customFormat="false" ht="21.75" hidden="false" customHeight="true" outlineLevel="0" collapsed="false">
      <c r="B11" s="42" t="s">
        <v>169</v>
      </c>
      <c r="C11" s="31" t="s">
        <v>170</v>
      </c>
      <c r="D11" s="43" t="n">
        <f aca="false">IFERROR('P&amp;L Model'!G15/'P&amp;L Model'!G22,0)</f>
        <v>0.455373406193078</v>
      </c>
      <c r="E11" s="44" t="s">
        <v>171</v>
      </c>
      <c r="F11" s="45" t="s">
        <v>172</v>
      </c>
      <c r="G11" s="45" t="str">
        <f aca="false">IFERROR(IF(D11&lt;=0.35,"On Target","Overspend"),"-")</f>
        <v>Overspend</v>
      </c>
    </row>
    <row r="12" customFormat="false" ht="21.75" hidden="false" customHeight="true" outlineLevel="0" collapsed="false">
      <c r="B12" s="42" t="s">
        <v>173</v>
      </c>
      <c r="C12" s="46" t="s">
        <v>174</v>
      </c>
      <c r="D12" s="47" t="n">
        <f aca="false">IFERROR('P&amp;L Model'!G12/Assumptions!B6,0)</f>
        <v>380.769230769231</v>
      </c>
      <c r="E12" s="48" t="s">
        <v>175</v>
      </c>
      <c r="F12" s="49" t="s">
        <v>176</v>
      </c>
      <c r="G12" s="49" t="str">
        <f aca="false">IFERROR(IF(D12&gt;=200,"On Target","Below Target"),"-")</f>
        <v>On Target</v>
      </c>
    </row>
  </sheetData>
  <mergeCells count="2">
    <mergeCell ref="B1:G1"/>
    <mergeCell ref="B2:G2"/>
  </mergeCells>
  <conditionalFormatting sqref="G5:G12">
    <cfRule type="expression" priority="2" aboveAverage="0" equalAverage="0" bottom="0" percent="0" rank="0" text="" dxfId="0">
      <formula>OR(G5="On Target",G5="Surplus",G5="Healthy")</formula>
    </cfRule>
    <cfRule type="expression" priority="3" aboveAverage="0" equalAverage="0" bottom="0" percent="0" rank="0" text="" dxfId="1">
      <formula>OR(G5="Below Target",G5="Above Target",G5="Review Mix",G5="Overspend")</formula>
    </cfRule>
    <cfRule type="expression" priority="4" aboveAverage="0" equalAverage="0" bottom="0" percent="0" rank="0" text="" dxfId="2">
      <formula>G5="Deficit"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5C25"/>
    <pageSetUpPr fitToPage="true"/>
  </sheetPr>
  <dimension ref="B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7" min="3" style="1" width="14"/>
    <col collapsed="false" customWidth="true" hidden="false" outlineLevel="0" max="8" min="8" style="1" width="4"/>
  </cols>
  <sheetData>
    <row r="1" customFormat="false" ht="30" hidden="false" customHeight="true" outlineLevel="0" collapsed="false">
      <c r="B1" s="18" t="s">
        <v>177</v>
      </c>
      <c r="C1" s="18"/>
      <c r="D1" s="18"/>
      <c r="E1" s="18"/>
      <c r="F1" s="18"/>
      <c r="G1" s="18"/>
    </row>
    <row r="2" customFormat="false" ht="21.75" hidden="false" customHeight="true" outlineLevel="0" collapsed="false">
      <c r="B2" s="19" t="s">
        <v>178</v>
      </c>
      <c r="C2" s="19"/>
      <c r="D2" s="19"/>
      <c r="E2" s="19"/>
      <c r="F2" s="19"/>
      <c r="G2" s="19"/>
    </row>
    <row r="3" customFormat="false" ht="7.5" hidden="false" customHeight="true" outlineLevel="0" collapsed="false"/>
    <row r="4" customFormat="false" ht="18" hidden="false" customHeight="true" outlineLevel="0" collapsed="false">
      <c r="C4" s="32" t="s">
        <v>179</v>
      </c>
      <c r="D4" s="32"/>
      <c r="E4" s="32"/>
      <c r="F4" s="32"/>
      <c r="G4" s="32"/>
    </row>
    <row r="5" customFormat="false" ht="19.5" hidden="false" customHeight="true" outlineLevel="0" collapsed="false">
      <c r="C5" s="52" t="n">
        <v>0</v>
      </c>
      <c r="D5" s="52" t="n">
        <v>300</v>
      </c>
      <c r="E5" s="52" t="n">
        <v>500</v>
      </c>
      <c r="F5" s="52" t="n">
        <v>700</v>
      </c>
      <c r="G5" s="52" t="n">
        <v>1000</v>
      </c>
    </row>
    <row r="6" customFormat="false" ht="19.5" hidden="false" customHeight="true" outlineLevel="0" collapsed="false">
      <c r="B6" s="53" t="n">
        <v>5</v>
      </c>
      <c r="C6" s="54" t="n">
        <f aca="false">(5*0*Assumptions!B14+Assumptions!B19+Assumptions!B21+Assumptions!B23+Assumptions!B24+Assumptions!B25)-Assumptions!B29+Assumptions!B35*5+Assumptions!B36+(Assumptions!B31+Assumptions!B32+Assumptions!B33)*4*(1+Assumptions!B38)</f>
        <v>16500.4</v>
      </c>
      <c r="D6" s="54" t="n">
        <f aca="false">(5*300*Assumptions!B14+Assumptions!B19+Assumptions!B21+Assumptions!B23+Assumptions!B24+Assumptions!B25)-Assumptions!B29+Assumptions!B35*5+Assumptions!B36+(Assumptions!B31+Assumptions!B32+Assumptions!B33)*4*(1+Assumptions!B38)</f>
        <v>17625.4</v>
      </c>
      <c r="E6" s="54" t="n">
        <f aca="false">(5*500*Assumptions!B14+Assumptions!B19+Assumptions!B21+Assumptions!B23+Assumptions!B24+Assumptions!B25)-Assumptions!B29+Assumptions!B35*5+Assumptions!B36+(Assumptions!B31+Assumptions!B32+Assumptions!B33)*4*(1+Assumptions!B38)</f>
        <v>18375.4</v>
      </c>
      <c r="F6" s="54" t="n">
        <f aca="false">(5*700*Assumptions!B14+Assumptions!B19+Assumptions!B21+Assumptions!B23+Assumptions!B24+Assumptions!B25)-Assumptions!B29+Assumptions!B35*5+Assumptions!B36+(Assumptions!B31+Assumptions!B32+Assumptions!B33)*4*(1+Assumptions!B38)</f>
        <v>19125.4</v>
      </c>
      <c r="G6" s="54" t="n">
        <f aca="false">(5*1000*Assumptions!B14+Assumptions!B19+Assumptions!B21+Assumptions!B23+Assumptions!B24+Assumptions!B25)-Assumptions!B29+Assumptions!B35*5+Assumptions!B36+(Assumptions!B31+Assumptions!B32+Assumptions!B33)*4*(1+Assumptions!B38)</f>
        <v>20250.4</v>
      </c>
    </row>
    <row r="7" customFormat="false" ht="19.5" hidden="false" customHeight="true" outlineLevel="0" collapsed="false">
      <c r="B7" s="53" t="n">
        <v>6</v>
      </c>
      <c r="C7" s="54" t="n">
        <f aca="false">(6*0*Assumptions!B14+Assumptions!B19+Assumptions!B21+Assumptions!B23+Assumptions!B24+Assumptions!B25)-Assumptions!B29+Assumptions!B35*6+Assumptions!B36+(Assumptions!B31+Assumptions!B32+Assumptions!B33)*4*(1+Assumptions!B38)</f>
        <v>16650.4</v>
      </c>
      <c r="D7" s="54" t="n">
        <f aca="false">(6*300*Assumptions!B14+Assumptions!B19+Assumptions!B21+Assumptions!B23+Assumptions!B24+Assumptions!B25)-Assumptions!B29+Assumptions!B35*6+Assumptions!B36+(Assumptions!B31+Assumptions!B32+Assumptions!B33)*4*(1+Assumptions!B38)</f>
        <v>18000.4</v>
      </c>
      <c r="E7" s="54" t="n">
        <f aca="false">(6*500*Assumptions!B14+Assumptions!B19+Assumptions!B21+Assumptions!B23+Assumptions!B24+Assumptions!B25)-Assumptions!B29+Assumptions!B35*6+Assumptions!B36+(Assumptions!B31+Assumptions!B32+Assumptions!B33)*4*(1+Assumptions!B38)</f>
        <v>18900.4</v>
      </c>
      <c r="F7" s="54" t="n">
        <f aca="false">(6*700*Assumptions!B14+Assumptions!B19+Assumptions!B21+Assumptions!B23+Assumptions!B24+Assumptions!B25)-Assumptions!B29+Assumptions!B35*6+Assumptions!B36+(Assumptions!B31+Assumptions!B32+Assumptions!B33)*4*(1+Assumptions!B38)</f>
        <v>19800.4</v>
      </c>
      <c r="G7" s="54" t="n">
        <f aca="false">(6*1000*Assumptions!B14+Assumptions!B19+Assumptions!B21+Assumptions!B23+Assumptions!B24+Assumptions!B25)-Assumptions!B29+Assumptions!B35*6+Assumptions!B36+(Assumptions!B31+Assumptions!B32+Assumptions!B33)*4*(1+Assumptions!B38)</f>
        <v>21150.4</v>
      </c>
    </row>
    <row r="8" customFormat="false" ht="19.5" hidden="false" customHeight="true" outlineLevel="0" collapsed="false">
      <c r="B8" s="53" t="n">
        <v>7</v>
      </c>
      <c r="C8" s="54" t="n">
        <f aca="false">(7*0*Assumptions!B14+Assumptions!B19+Assumptions!B21+Assumptions!B23+Assumptions!B24+Assumptions!B25)-Assumptions!B29+Assumptions!B35*7+Assumptions!B36+(Assumptions!B31+Assumptions!B32+Assumptions!B33)*4*(1+Assumptions!B38)</f>
        <v>16800.4</v>
      </c>
      <c r="D8" s="54" t="n">
        <f aca="false">(7*300*Assumptions!B14+Assumptions!B19+Assumptions!B21+Assumptions!B23+Assumptions!B24+Assumptions!B25)-Assumptions!B29+Assumptions!B35*7+Assumptions!B36+(Assumptions!B31+Assumptions!B32+Assumptions!B33)*4*(1+Assumptions!B38)</f>
        <v>18375.4</v>
      </c>
      <c r="E8" s="54" t="n">
        <f aca="false">(7*500*Assumptions!B14+Assumptions!B19+Assumptions!B21+Assumptions!B23+Assumptions!B24+Assumptions!B25)-Assumptions!B29+Assumptions!B35*7+Assumptions!B36+(Assumptions!B31+Assumptions!B32+Assumptions!B33)*4*(1+Assumptions!B38)</f>
        <v>19425.4</v>
      </c>
      <c r="F8" s="54" t="n">
        <f aca="false">(7*700*Assumptions!B14+Assumptions!B19+Assumptions!B21+Assumptions!B23+Assumptions!B24+Assumptions!B25)-Assumptions!B29+Assumptions!B35*7+Assumptions!B36+(Assumptions!B31+Assumptions!B32+Assumptions!B33)*4*(1+Assumptions!B38)</f>
        <v>20475.4</v>
      </c>
      <c r="G8" s="54" t="n">
        <f aca="false">(7*1000*Assumptions!B14+Assumptions!B19+Assumptions!B21+Assumptions!B23+Assumptions!B24+Assumptions!B25)-Assumptions!B29+Assumptions!B35*7+Assumptions!B36+(Assumptions!B31+Assumptions!B32+Assumptions!B33)*4*(1+Assumptions!B38)</f>
        <v>22050.4</v>
      </c>
    </row>
    <row r="9" customFormat="false" ht="19.5" hidden="false" customHeight="true" outlineLevel="0" collapsed="false">
      <c r="B9" s="53" t="n">
        <v>8</v>
      </c>
      <c r="C9" s="54" t="n">
        <f aca="false">(8*0*Assumptions!B14+Assumptions!B19+Assumptions!B21+Assumptions!B23+Assumptions!B24+Assumptions!B25)-Assumptions!B29+Assumptions!B35*8+Assumptions!B36+(Assumptions!B31+Assumptions!B32+Assumptions!B33)*4*(1+Assumptions!B38)</f>
        <v>16950.4</v>
      </c>
      <c r="D9" s="54" t="n">
        <f aca="false">(8*300*Assumptions!B14+Assumptions!B19+Assumptions!B21+Assumptions!B23+Assumptions!B24+Assumptions!B25)-Assumptions!B29+Assumptions!B35*8+Assumptions!B36+(Assumptions!B31+Assumptions!B32+Assumptions!B33)*4*(1+Assumptions!B38)</f>
        <v>18750.4</v>
      </c>
      <c r="E9" s="55" t="n">
        <f aca="false">(8*500*Assumptions!B14+Assumptions!B19+Assumptions!B21+Assumptions!B23+Assumptions!B24+Assumptions!B25)-Assumptions!B29+Assumptions!B35*8+Assumptions!B36+(Assumptions!B31+Assumptions!B32+Assumptions!B33)*4*(1+Assumptions!B38)</f>
        <v>19950.4</v>
      </c>
      <c r="F9" s="54" t="n">
        <f aca="false">(8*700*Assumptions!B14+Assumptions!B19+Assumptions!B21+Assumptions!B23+Assumptions!B24+Assumptions!B25)-Assumptions!B29+Assumptions!B35*8+Assumptions!B36+(Assumptions!B31+Assumptions!B32+Assumptions!B33)*4*(1+Assumptions!B38)</f>
        <v>21150.4</v>
      </c>
      <c r="G9" s="54" t="n">
        <f aca="false">(8*1000*Assumptions!B14+Assumptions!B19+Assumptions!B21+Assumptions!B23+Assumptions!B24+Assumptions!B25)-Assumptions!B29+Assumptions!B35*8+Assumptions!B36+(Assumptions!B31+Assumptions!B32+Assumptions!B33)*4*(1+Assumptions!B38)</f>
        <v>22950.4</v>
      </c>
    </row>
    <row r="10" customFormat="false" ht="19.5" hidden="false" customHeight="true" outlineLevel="0" collapsed="false">
      <c r="B10" s="53" t="n">
        <v>9</v>
      </c>
      <c r="C10" s="54" t="n">
        <f aca="false">(9*0*Assumptions!B14+Assumptions!B19+Assumptions!B21+Assumptions!B23+Assumptions!B24+Assumptions!B25)-Assumptions!B29+Assumptions!B35*9+Assumptions!B36+(Assumptions!B31+Assumptions!B32+Assumptions!B33)*4*(1+Assumptions!B38)</f>
        <v>17100.4</v>
      </c>
      <c r="D10" s="54" t="n">
        <f aca="false">(9*300*Assumptions!B14+Assumptions!B19+Assumptions!B21+Assumptions!B23+Assumptions!B24+Assumptions!B25)-Assumptions!B29+Assumptions!B35*9+Assumptions!B36+(Assumptions!B31+Assumptions!B32+Assumptions!B33)*4*(1+Assumptions!B38)</f>
        <v>19125.4</v>
      </c>
      <c r="E10" s="54" t="n">
        <f aca="false">(9*500*Assumptions!B14+Assumptions!B19+Assumptions!B21+Assumptions!B23+Assumptions!B24+Assumptions!B25)-Assumptions!B29+Assumptions!B35*9+Assumptions!B36+(Assumptions!B31+Assumptions!B32+Assumptions!B33)*4*(1+Assumptions!B38)</f>
        <v>20475.4</v>
      </c>
      <c r="F10" s="54" t="n">
        <f aca="false">(9*700*Assumptions!B14+Assumptions!B19+Assumptions!B21+Assumptions!B23+Assumptions!B24+Assumptions!B25)-Assumptions!B29+Assumptions!B35*9+Assumptions!B36+(Assumptions!B31+Assumptions!B32+Assumptions!B33)*4*(1+Assumptions!B38)</f>
        <v>21825.4</v>
      </c>
      <c r="G10" s="54" t="n">
        <f aca="false">(9*1000*Assumptions!B14+Assumptions!B19+Assumptions!B21+Assumptions!B23+Assumptions!B24+Assumptions!B25)-Assumptions!B29+Assumptions!B35*9+Assumptions!B36+(Assumptions!B31+Assumptions!B32+Assumptions!B33)*4*(1+Assumptions!B38)</f>
        <v>23850.4</v>
      </c>
    </row>
    <row r="11" customFormat="false" ht="19.5" hidden="false" customHeight="true" outlineLevel="0" collapsed="false">
      <c r="B11" s="53" t="n">
        <v>10</v>
      </c>
      <c r="C11" s="54" t="n">
        <f aca="false">(10*0*Assumptions!B14+Assumptions!B19+Assumptions!B21+Assumptions!B23+Assumptions!B24+Assumptions!B25)-Assumptions!B29+Assumptions!B35*10+Assumptions!B36+(Assumptions!B31+Assumptions!B32+Assumptions!B33)*4*(1+Assumptions!B38)</f>
        <v>17250.4</v>
      </c>
      <c r="D11" s="54" t="n">
        <f aca="false">(10*300*Assumptions!B14+Assumptions!B19+Assumptions!B21+Assumptions!B23+Assumptions!B24+Assumptions!B25)-Assumptions!B29+Assumptions!B35*10+Assumptions!B36+(Assumptions!B31+Assumptions!B32+Assumptions!B33)*4*(1+Assumptions!B38)</f>
        <v>19500.4</v>
      </c>
      <c r="E11" s="54" t="n">
        <f aca="false">(10*500*Assumptions!B14+Assumptions!B19+Assumptions!B21+Assumptions!B23+Assumptions!B24+Assumptions!B25)-Assumptions!B29+Assumptions!B35*10+Assumptions!B36+(Assumptions!B31+Assumptions!B32+Assumptions!B33)*4*(1+Assumptions!B38)</f>
        <v>21000.4</v>
      </c>
      <c r="F11" s="54" t="n">
        <f aca="false">(10*700*Assumptions!B14+Assumptions!B19+Assumptions!B21+Assumptions!B23+Assumptions!B24+Assumptions!B25)-Assumptions!B29+Assumptions!B35*10+Assumptions!B36+(Assumptions!B31+Assumptions!B32+Assumptions!B33)*4*(1+Assumptions!B38)</f>
        <v>22500.4</v>
      </c>
      <c r="G11" s="54" t="n">
        <f aca="false">(10*1000*Assumptions!B14+Assumptions!B19+Assumptions!B21+Assumptions!B23+Assumptions!B24+Assumptions!B25)-Assumptions!B29+Assumptions!B35*10+Assumptions!B36+(Assumptions!B31+Assumptions!B32+Assumptions!B33)*4*(1+Assumptions!B38)</f>
        <v>24750.4</v>
      </c>
    </row>
    <row r="13" customFormat="false" ht="18" hidden="false" customHeight="true" outlineLevel="0" collapsed="false">
      <c r="C13" s="56" t="s">
        <v>180</v>
      </c>
      <c r="D13" s="56"/>
      <c r="E13" s="56"/>
      <c r="F13" s="56"/>
      <c r="G13" s="56"/>
    </row>
  </sheetData>
  <mergeCells count="4">
    <mergeCell ref="B1:G1"/>
    <mergeCell ref="B2:G2"/>
    <mergeCell ref="C4:G4"/>
    <mergeCell ref="C13:G13"/>
  </mergeCells>
  <conditionalFormatting sqref="C6:G11">
    <cfRule type="expression" priority="2" aboveAverage="0" equalAverage="0" bottom="0" percent="0" rank="0" text="" dxfId="3">
      <formula>C6&gt;0</formula>
    </cfRule>
    <cfRule type="expression" priority="3" aboveAverage="0" equalAverage="0" bottom="0" percent="0" rank="0" text="" dxfId="4">
      <formula>C6&lt;=0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3A"/>
    <pageSetUpPr fitToPage="true"/>
  </sheetPr>
  <dimension ref="B1:R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9" min="8" style="0" width="12"/>
    <col collapsed="false" customWidth="true" hidden="false" outlineLevel="0" max="14" min="10" style="0" width="13"/>
    <col collapsed="false" customWidth="true" hidden="false" outlineLevel="0" max="15" min="15" style="0" width="30"/>
  </cols>
  <sheetData>
    <row r="1" customFormat="false" ht="30" hidden="false" customHeight="true" outlineLevel="0" collapsed="false">
      <c r="B1" s="18" t="s">
        <v>181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customFormat="false" ht="13.5" hidden="false" customHeight="true" outlineLevel="0" collapsed="false">
      <c r="B2" s="19" t="s">
        <v>182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customFormat="false" ht="7.5" hidden="false" customHeight="true" outlineLevel="0" collapsed="false"/>
    <row r="4" customFormat="false" ht="31.5" hidden="false" customHeight="true" outlineLevel="0" collapsed="false">
      <c r="B4" s="57" t="s">
        <v>145</v>
      </c>
      <c r="C4" s="57" t="s">
        <v>183</v>
      </c>
      <c r="D4" s="57" t="s">
        <v>184</v>
      </c>
      <c r="E4" s="57" t="s">
        <v>185</v>
      </c>
      <c r="F4" s="57" t="s">
        <v>186</v>
      </c>
      <c r="G4" s="57" t="s">
        <v>187</v>
      </c>
      <c r="H4" s="57" t="s">
        <v>188</v>
      </c>
      <c r="I4" s="57" t="s">
        <v>189</v>
      </c>
      <c r="J4" s="57" t="s">
        <v>149</v>
      </c>
      <c r="K4" s="57" t="s">
        <v>190</v>
      </c>
      <c r="L4" s="57" t="s">
        <v>191</v>
      </c>
      <c r="M4" s="57" t="s">
        <v>192</v>
      </c>
      <c r="N4" s="57" t="s">
        <v>193</v>
      </c>
      <c r="O4" s="57" t="s">
        <v>194</v>
      </c>
      <c r="P4" s="57" t="s">
        <v>195</v>
      </c>
      <c r="Q4" s="57" t="s">
        <v>196</v>
      </c>
      <c r="R4" s="57" t="s">
        <v>197</v>
      </c>
    </row>
    <row r="5" customFormat="false" ht="21.75" hidden="false" customHeight="true" outlineLevel="0" collapsed="false">
      <c r="B5" s="58" t="n">
        <v>1</v>
      </c>
      <c r="C5" s="59" t="s">
        <v>198</v>
      </c>
      <c r="D5" s="60" t="s">
        <v>199</v>
      </c>
      <c r="E5" s="61" t="s">
        <v>200</v>
      </c>
      <c r="F5" s="62" t="s">
        <v>201</v>
      </c>
      <c r="G5" s="63" t="n">
        <v>6</v>
      </c>
      <c r="H5" s="64" t="s">
        <v>202</v>
      </c>
      <c r="I5" s="64" t="s">
        <v>203</v>
      </c>
      <c r="J5" s="65" t="s">
        <v>204</v>
      </c>
      <c r="K5" s="58" t="n">
        <v>180</v>
      </c>
      <c r="L5" s="58" t="n">
        <v>172</v>
      </c>
      <c r="M5" s="66" t="n">
        <f aca="false">IFERROR(L5/K5,0)</f>
        <v>0.955555555555556</v>
      </c>
      <c r="N5" s="67" t="n">
        <v>500</v>
      </c>
      <c r="O5" s="65" t="s">
        <v>205</v>
      </c>
      <c r="P5" s="67" t="n">
        <v>500</v>
      </c>
      <c r="Q5" s="68" t="n">
        <f aca="false">IF(O5="Yes",N5-P5,0)</f>
        <v>0</v>
      </c>
      <c r="R5" s="62" t="s">
        <v>206</v>
      </c>
    </row>
    <row r="6" customFormat="false" ht="21.75" hidden="false" customHeight="true" outlineLevel="0" collapsed="false">
      <c r="B6" s="58" t="n">
        <v>2</v>
      </c>
      <c r="C6" s="69" t="s">
        <v>207</v>
      </c>
      <c r="D6" s="70" t="s">
        <v>208</v>
      </c>
      <c r="E6" s="71" t="s">
        <v>209</v>
      </c>
      <c r="F6" s="72" t="s">
        <v>210</v>
      </c>
      <c r="G6" s="73" t="n">
        <v>6</v>
      </c>
      <c r="H6" s="64" t="s">
        <v>202</v>
      </c>
      <c r="I6" s="64" t="s">
        <v>211</v>
      </c>
      <c r="J6" s="74" t="s">
        <v>212</v>
      </c>
      <c r="K6" s="58" t="n">
        <v>200</v>
      </c>
      <c r="L6" s="58" t="n">
        <v>145</v>
      </c>
      <c r="M6" s="75" t="n">
        <f aca="false">IFERROR(L6/K6,0)</f>
        <v>0.725</v>
      </c>
      <c r="N6" s="67" t="n">
        <v>500</v>
      </c>
      <c r="O6" s="74" t="s">
        <v>205</v>
      </c>
      <c r="P6" s="67" t="n">
        <v>500</v>
      </c>
      <c r="Q6" s="76" t="n">
        <f aca="false">IF(O6="Yes",N6-P6,0)</f>
        <v>0</v>
      </c>
      <c r="R6" s="72" t="s">
        <v>213</v>
      </c>
    </row>
    <row r="7" customFormat="false" ht="21.75" hidden="false" customHeight="true" outlineLevel="0" collapsed="false">
      <c r="B7" s="58" t="n">
        <v>3</v>
      </c>
      <c r="C7" s="77" t="s">
        <v>214</v>
      </c>
      <c r="D7" s="78" t="s">
        <v>199</v>
      </c>
      <c r="E7" s="79" t="s">
        <v>215</v>
      </c>
      <c r="F7" s="80" t="s">
        <v>216</v>
      </c>
      <c r="G7" s="81" t="n">
        <v>5</v>
      </c>
      <c r="H7" s="64" t="s">
        <v>217</v>
      </c>
      <c r="I7" s="64" t="s">
        <v>218</v>
      </c>
      <c r="J7" s="82" t="s">
        <v>219</v>
      </c>
      <c r="K7" s="58" t="n">
        <v>180</v>
      </c>
      <c r="L7" s="58" t="n">
        <v>98</v>
      </c>
      <c r="M7" s="83" t="n">
        <f aca="false">IFERROR(L7/K7,0)</f>
        <v>0.544444444444444</v>
      </c>
      <c r="N7" s="67" t="n">
        <v>500</v>
      </c>
      <c r="O7" s="82" t="s">
        <v>205</v>
      </c>
      <c r="P7" s="67" t="n">
        <v>0</v>
      </c>
      <c r="Q7" s="76" t="n">
        <f aca="false">IF(O7="Yes",N7-P7,0)</f>
        <v>500</v>
      </c>
      <c r="R7" s="80" t="s">
        <v>220</v>
      </c>
    </row>
    <row r="8" customFormat="false" ht="21.75" hidden="false" customHeight="true" outlineLevel="0" collapsed="false">
      <c r="B8" s="58" t="n">
        <v>4</v>
      </c>
      <c r="C8" s="77" t="s">
        <v>221</v>
      </c>
      <c r="D8" s="78" t="s">
        <v>199</v>
      </c>
      <c r="E8" s="79" t="s">
        <v>222</v>
      </c>
      <c r="F8" s="80" t="s">
        <v>223</v>
      </c>
      <c r="G8" s="81" t="n">
        <v>5</v>
      </c>
      <c r="H8" s="64" t="s">
        <v>224</v>
      </c>
      <c r="I8" s="64" t="s">
        <v>225</v>
      </c>
      <c r="J8" s="82" t="s">
        <v>219</v>
      </c>
      <c r="K8" s="58" t="n">
        <v>200</v>
      </c>
      <c r="L8" s="58" t="n">
        <v>60</v>
      </c>
      <c r="M8" s="83" t="n">
        <f aca="false">IFERROR(L8/K8,0)</f>
        <v>0.3</v>
      </c>
      <c r="N8" s="67" t="n">
        <v>500</v>
      </c>
      <c r="O8" s="82" t="s">
        <v>226</v>
      </c>
      <c r="P8" s="67" t="n">
        <v>0</v>
      </c>
      <c r="Q8" s="76" t="n">
        <f aca="false">IF(O8="Yes",N8-P8,0)</f>
        <v>0</v>
      </c>
      <c r="R8" s="80" t="s">
        <v>227</v>
      </c>
    </row>
    <row r="9" customFormat="false" ht="21.75" hidden="false" customHeight="true" outlineLevel="0" collapsed="false">
      <c r="B9" s="58" t="n">
        <v>5</v>
      </c>
      <c r="C9" s="77" t="s">
        <v>228</v>
      </c>
      <c r="D9" s="78" t="s">
        <v>229</v>
      </c>
      <c r="E9" s="79" t="s">
        <v>230</v>
      </c>
      <c r="F9" s="80" t="s">
        <v>231</v>
      </c>
      <c r="G9" s="81" t="n">
        <v>5</v>
      </c>
      <c r="H9" s="64" t="s">
        <v>217</v>
      </c>
      <c r="I9" s="64" t="s">
        <v>218</v>
      </c>
      <c r="J9" s="82" t="s">
        <v>219</v>
      </c>
      <c r="K9" s="58" t="n">
        <v>160</v>
      </c>
      <c r="L9" s="58" t="n">
        <v>88</v>
      </c>
      <c r="M9" s="83" t="n">
        <f aca="false">IFERROR(L9/K9,0)</f>
        <v>0.55</v>
      </c>
      <c r="N9" s="67" t="n">
        <v>500</v>
      </c>
      <c r="O9" s="82" t="s">
        <v>205</v>
      </c>
      <c r="P9" s="67" t="n">
        <v>500</v>
      </c>
      <c r="Q9" s="84" t="n">
        <f aca="false">IF(O9="Yes",N9-P9,0)</f>
        <v>0</v>
      </c>
      <c r="R9" s="80" t="s">
        <v>232</v>
      </c>
    </row>
    <row r="10" customFormat="false" ht="21.75" hidden="false" customHeight="true" outlineLevel="0" collapsed="false">
      <c r="B10" s="58" t="n">
        <v>6</v>
      </c>
      <c r="C10" s="77" t="s">
        <v>233</v>
      </c>
      <c r="D10" s="78" t="s">
        <v>234</v>
      </c>
      <c r="E10" s="79" t="s">
        <v>235</v>
      </c>
      <c r="F10" s="80" t="s">
        <v>236</v>
      </c>
      <c r="G10" s="81" t="n">
        <v>5</v>
      </c>
      <c r="H10" s="64" t="s">
        <v>224</v>
      </c>
      <c r="I10" s="64" t="s">
        <v>237</v>
      </c>
      <c r="J10" s="82" t="s">
        <v>219</v>
      </c>
      <c r="K10" s="58" t="n">
        <v>180</v>
      </c>
      <c r="L10" s="58" t="n">
        <v>52</v>
      </c>
      <c r="M10" s="83" t="n">
        <f aca="false">IFERROR(L10/K10,0)</f>
        <v>0.288888888888889</v>
      </c>
      <c r="N10" s="67" t="n">
        <v>0</v>
      </c>
      <c r="O10" s="82" t="s">
        <v>226</v>
      </c>
      <c r="P10" s="67" t="n">
        <v>0</v>
      </c>
      <c r="Q10" s="84" t="n">
        <f aca="false">IF(O10="Yes",N10-P10,0)</f>
        <v>0</v>
      </c>
      <c r="R10" s="80" t="s">
        <v>238</v>
      </c>
    </row>
    <row r="11" customFormat="false" ht="21.75" hidden="false" customHeight="true" outlineLevel="0" collapsed="false">
      <c r="B11" s="58" t="n">
        <v>7</v>
      </c>
      <c r="C11" s="85" t="s">
        <v>239</v>
      </c>
      <c r="D11" s="86" t="s">
        <v>240</v>
      </c>
      <c r="E11" s="87" t="s">
        <v>241</v>
      </c>
      <c r="F11" s="88" t="s">
        <v>242</v>
      </c>
      <c r="G11" s="89" t="n">
        <v>5</v>
      </c>
      <c r="H11" s="64" t="s">
        <v>243</v>
      </c>
      <c r="I11" s="64" t="s">
        <v>225</v>
      </c>
      <c r="J11" s="90" t="s">
        <v>244</v>
      </c>
      <c r="K11" s="58" t="n">
        <v>160</v>
      </c>
      <c r="L11" s="58" t="n">
        <v>12</v>
      </c>
      <c r="M11" s="91" t="n">
        <f aca="false">IFERROR(L11/K11,0)</f>
        <v>0.075</v>
      </c>
      <c r="N11" s="67" t="n">
        <v>500</v>
      </c>
      <c r="O11" s="90" t="s">
        <v>226</v>
      </c>
      <c r="P11" s="67" t="n">
        <v>0</v>
      </c>
      <c r="Q11" s="76" t="n">
        <f aca="false">IF(O11="Yes",N11-P11,0)</f>
        <v>0</v>
      </c>
      <c r="R11" s="88" t="s">
        <v>245</v>
      </c>
    </row>
    <row r="12" customFormat="false" ht="21.75" hidden="false" customHeight="true" outlineLevel="0" collapsed="false">
      <c r="B12" s="58" t="n">
        <v>8</v>
      </c>
      <c r="C12" s="85" t="s">
        <v>246</v>
      </c>
      <c r="D12" s="86" t="s">
        <v>247</v>
      </c>
      <c r="E12" s="87" t="s">
        <v>248</v>
      </c>
      <c r="F12" s="88" t="s">
        <v>249</v>
      </c>
      <c r="G12" s="89" t="n">
        <v>5</v>
      </c>
      <c r="H12" s="64" t="s">
        <v>250</v>
      </c>
      <c r="I12" s="64" t="s">
        <v>251</v>
      </c>
      <c r="J12" s="90" t="s">
        <v>244</v>
      </c>
      <c r="K12" s="58" t="n">
        <v>160</v>
      </c>
      <c r="L12" s="58" t="n">
        <v>8</v>
      </c>
      <c r="M12" s="91" t="n">
        <f aca="false">IFERROR(L12/K12,0)</f>
        <v>0.05</v>
      </c>
      <c r="N12" s="67" t="n">
        <v>0</v>
      </c>
      <c r="O12" s="90" t="s">
        <v>226</v>
      </c>
      <c r="P12" s="67" t="n">
        <v>0</v>
      </c>
      <c r="Q12" s="92" t="n">
        <f aca="false">IF(O12="Yes",N12-P12,0)</f>
        <v>0</v>
      </c>
      <c r="R12" s="88" t="s">
        <v>252</v>
      </c>
    </row>
    <row r="13" customFormat="false" ht="19.5" hidden="false" customHeight="true" outlineLevel="0" collapsed="false">
      <c r="B13" s="93"/>
      <c r="C13" s="31" t="s">
        <v>253</v>
      </c>
      <c r="D13" s="93"/>
      <c r="E13" s="93"/>
      <c r="F13" s="93"/>
      <c r="G13" s="93"/>
      <c r="H13" s="93"/>
      <c r="I13" s="93"/>
      <c r="J13" s="93"/>
      <c r="K13" s="94" t="n">
        <f aca="false">SUM(K5:K12)</f>
        <v>1420</v>
      </c>
      <c r="L13" s="94" t="n">
        <f aca="false">SUM(L5:L12)</f>
        <v>635</v>
      </c>
      <c r="M13" s="95" t="n">
        <f aca="false">IFERROR(L13/K13,0)</f>
        <v>0.447183098591549</v>
      </c>
      <c r="N13" s="96" t="n">
        <f aca="false">SUM(N5:N12)</f>
        <v>3000</v>
      </c>
      <c r="O13" s="93"/>
      <c r="P13" s="96" t="n">
        <f aca="false">SUM(P5:P12)</f>
        <v>1500</v>
      </c>
      <c r="Q13" s="96" t="n">
        <f aca="false">SUM(Q5:Q12)</f>
        <v>500</v>
      </c>
      <c r="R13" s="93"/>
    </row>
    <row r="15" customFormat="false" ht="15.75" hidden="false" customHeight="true" outlineLevel="0" collapsed="false">
      <c r="B15" s="56" t="s">
        <v>254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</row>
  </sheetData>
  <mergeCells count="3">
    <mergeCell ref="B1:O1"/>
    <mergeCell ref="B2:O2"/>
    <mergeCell ref="B15:O15"/>
  </mergeCells>
  <dataValidations count="1">
    <dataValidation allowBlank="false" errorStyle="stop" operator="between" showDropDown="false" showErrorMessage="false" showInputMessage="false" sqref="J5:J12" type="list">
      <formula1>"Scoping,Active,Under Review,Completed,On Hold"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922A"/>
    <pageSetUpPr fitToPage="true"/>
  </sheetPr>
  <dimension ref="B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30" hidden="false" customHeight="true" outlineLevel="0" collapsed="false">
      <c r="B1" s="18" t="s">
        <v>255</v>
      </c>
      <c r="C1" s="18"/>
      <c r="D1" s="18"/>
      <c r="E1" s="18"/>
      <c r="F1" s="18"/>
    </row>
    <row r="2" customFormat="false" ht="13.5" hidden="false" customHeight="true" outlineLevel="0" collapsed="false">
      <c r="B2" s="19" t="s">
        <v>256</v>
      </c>
      <c r="C2" s="19"/>
      <c r="D2" s="19"/>
      <c r="E2" s="19"/>
      <c r="F2" s="19"/>
    </row>
    <row r="3" customFormat="false" ht="7.5" hidden="false" customHeight="true" outlineLevel="0" collapsed="false"/>
    <row r="4" customFormat="false" ht="30" hidden="false" customHeight="true" outlineLevel="0" collapsed="false">
      <c r="B4" s="57" t="s">
        <v>105</v>
      </c>
      <c r="C4" s="57" t="s">
        <v>257</v>
      </c>
      <c r="D4" s="57" t="s">
        <v>258</v>
      </c>
      <c r="E4" s="57" t="s">
        <v>259</v>
      </c>
      <c r="F4" s="57" t="s">
        <v>260</v>
      </c>
    </row>
    <row r="5" customFormat="false" ht="16.5" hidden="false" customHeight="true" outlineLevel="0" collapsed="false">
      <c r="B5" s="22" t="s">
        <v>261</v>
      </c>
      <c r="C5" s="22"/>
      <c r="D5" s="22"/>
      <c r="E5" s="22"/>
      <c r="F5" s="22"/>
    </row>
    <row r="6" customFormat="false" ht="18.75" hidden="false" customHeight="true" outlineLevel="0" collapsed="false">
      <c r="B6" s="23" t="s">
        <v>113</v>
      </c>
      <c r="C6" s="97" t="n">
        <v>2200</v>
      </c>
      <c r="D6" s="98" t="n">
        <f aca="false">'P&amp;L Model'!G6</f>
        <v>3000</v>
      </c>
      <c r="E6" s="99" t="n">
        <f aca="false">D6-C6</f>
        <v>800</v>
      </c>
      <c r="F6" s="100" t="n">
        <f aca="false">IFERROR((D6-C6)/ABS(C6),0)</f>
        <v>0.363636363636364</v>
      </c>
    </row>
    <row r="7" customFormat="false" ht="18.75" hidden="false" customHeight="true" outlineLevel="0" collapsed="false">
      <c r="B7" s="23" t="s">
        <v>114</v>
      </c>
      <c r="C7" s="97" t="n">
        <v>7000</v>
      </c>
      <c r="D7" s="98" t="n">
        <f aca="false">'P&amp;L Model'!G7</f>
        <v>12000</v>
      </c>
      <c r="E7" s="99" t="n">
        <f aca="false">D7-C7</f>
        <v>5000</v>
      </c>
      <c r="F7" s="100" t="n">
        <f aca="false">IFERROR((D7-C7)/ABS(C7),0)</f>
        <v>0.714285714285714</v>
      </c>
    </row>
    <row r="8" customFormat="false" ht="18.75" hidden="false" customHeight="true" outlineLevel="0" collapsed="false">
      <c r="B8" s="23" t="s">
        <v>262</v>
      </c>
      <c r="C8" s="97" t="n">
        <v>2000</v>
      </c>
      <c r="D8" s="98" t="n">
        <f aca="false">'P&amp;L Model'!G8</f>
        <v>2000</v>
      </c>
      <c r="E8" s="99" t="n">
        <f aca="false">D8-C8</f>
        <v>0</v>
      </c>
      <c r="F8" s="100" t="n">
        <f aca="false">IFERROR((D8-C8)/ABS(C8),0)</f>
        <v>0</v>
      </c>
    </row>
    <row r="9" customFormat="false" ht="18.75" hidden="false" customHeight="true" outlineLevel="0" collapsed="false">
      <c r="B9" s="23" t="s">
        <v>116</v>
      </c>
      <c r="C9" s="97" t="n">
        <v>1640</v>
      </c>
      <c r="D9" s="98" t="n">
        <f aca="false">'P&amp;L Model'!G9</f>
        <v>1700</v>
      </c>
      <c r="E9" s="99" t="n">
        <f aca="false">D9-C9</f>
        <v>60</v>
      </c>
      <c r="F9" s="100" t="n">
        <f aca="false">IFERROR((D9-C9)/ABS(C9),0)</f>
        <v>0.0365853658536585</v>
      </c>
    </row>
    <row r="10" customFormat="false" ht="18.75" hidden="false" customHeight="true" outlineLevel="0" collapsed="false">
      <c r="B10" s="23" t="s">
        <v>117</v>
      </c>
      <c r="C10" s="97" t="n">
        <v>700</v>
      </c>
      <c r="D10" s="98" t="n">
        <f aca="false">'P&amp;L Model'!G10</f>
        <v>800</v>
      </c>
      <c r="E10" s="99" t="n">
        <f aca="false">D10-C10</f>
        <v>100</v>
      </c>
      <c r="F10" s="100" t="n">
        <f aca="false">IFERROR((D10-C10)/ABS(C10),0)</f>
        <v>0.142857142857143</v>
      </c>
    </row>
    <row r="11" customFormat="false" ht="18.75" hidden="false" customHeight="true" outlineLevel="0" collapsed="false">
      <c r="B11" s="23" t="s">
        <v>263</v>
      </c>
      <c r="C11" s="97" t="n">
        <v>250</v>
      </c>
      <c r="D11" s="98" t="n">
        <f aca="false">'P&amp;L Model'!G11</f>
        <v>300</v>
      </c>
      <c r="E11" s="99" t="n">
        <f aca="false">D11-C11</f>
        <v>50</v>
      </c>
      <c r="F11" s="100" t="n">
        <f aca="false">IFERROR((D11-C11)/ABS(C11),0)</f>
        <v>0.2</v>
      </c>
    </row>
    <row r="12" customFormat="false" ht="18.75" hidden="false" customHeight="true" outlineLevel="0" collapsed="false">
      <c r="B12" s="31" t="s">
        <v>119</v>
      </c>
      <c r="C12" s="101" t="n">
        <v>13790</v>
      </c>
      <c r="D12" s="102" t="n">
        <f aca="false">'P&amp;L Model'!G12</f>
        <v>19800</v>
      </c>
      <c r="E12" s="96" t="n">
        <f aca="false">D12-C12</f>
        <v>6010</v>
      </c>
      <c r="F12" s="103" t="n">
        <f aca="false">IFERROR((D12-C12)/ABS(C12),0)</f>
        <v>0.435823060188542</v>
      </c>
    </row>
    <row r="13" customFormat="false" ht="16.5" hidden="false" customHeight="true" outlineLevel="0" collapsed="false">
      <c r="B13" s="22" t="s">
        <v>264</v>
      </c>
      <c r="C13" s="22"/>
      <c r="D13" s="22"/>
      <c r="E13" s="22"/>
      <c r="F13" s="22"/>
    </row>
    <row r="14" customFormat="false" ht="18.75" hidden="false" customHeight="true" outlineLevel="0" collapsed="false">
      <c r="B14" s="23" t="s">
        <v>122</v>
      </c>
      <c r="C14" s="97" t="n">
        <v>1650</v>
      </c>
      <c r="D14" s="98" t="n">
        <f aca="false">'P&amp;L Model'!G15</f>
        <v>2400</v>
      </c>
      <c r="E14" s="99" t="n">
        <f aca="false">D14-C14</f>
        <v>750</v>
      </c>
      <c r="F14" s="100" t="n">
        <f aca="false">IFERROR((D14-C14)/ABS(C14),0)</f>
        <v>0.454545454545455</v>
      </c>
    </row>
    <row r="15" customFormat="false" ht="18.75" hidden="false" customHeight="true" outlineLevel="0" collapsed="false">
      <c r="B15" s="23" t="s">
        <v>123</v>
      </c>
      <c r="C15" s="97" t="n">
        <v>1050</v>
      </c>
      <c r="D15" s="98" t="n">
        <f aca="false">'P&amp;L Model'!G16</f>
        <v>1200</v>
      </c>
      <c r="E15" s="99" t="n">
        <f aca="false">D15-C15</f>
        <v>150</v>
      </c>
      <c r="F15" s="100" t="n">
        <f aca="false">IFERROR((D15-C15)/ABS(C15),0)</f>
        <v>0.142857142857143</v>
      </c>
    </row>
    <row r="16" customFormat="false" ht="18.75" hidden="false" customHeight="true" outlineLevel="0" collapsed="false">
      <c r="B16" s="23" t="s">
        <v>125</v>
      </c>
      <c r="C16" s="97" t="n">
        <v>350</v>
      </c>
      <c r="D16" s="98" t="n">
        <f aca="false">'P&amp;L Model'!G17</f>
        <v>400</v>
      </c>
      <c r="E16" s="99" t="n">
        <f aca="false">D16-C16</f>
        <v>50</v>
      </c>
      <c r="F16" s="100" t="n">
        <f aca="false">IFERROR((D16-C16)/ABS(C16),0)</f>
        <v>0.142857142857143</v>
      </c>
    </row>
    <row r="17" customFormat="false" ht="18.75" hidden="false" customHeight="true" outlineLevel="0" collapsed="false">
      <c r="B17" s="23" t="s">
        <v>127</v>
      </c>
      <c r="C17" s="97" t="n">
        <v>480</v>
      </c>
      <c r="D17" s="98" t="n">
        <f aca="false">'P&amp;L Model'!G18</f>
        <v>480</v>
      </c>
      <c r="E17" s="99" t="n">
        <f aca="false">D17-C17</f>
        <v>0</v>
      </c>
      <c r="F17" s="100" t="n">
        <f aca="false">IFERROR((D17-C17)/ABS(C17),0)</f>
        <v>0</v>
      </c>
    </row>
    <row r="18" customFormat="false" ht="18.75" hidden="false" customHeight="true" outlineLevel="0" collapsed="false">
      <c r="B18" s="23" t="s">
        <v>129</v>
      </c>
      <c r="C18" s="97" t="n">
        <v>240</v>
      </c>
      <c r="D18" s="98" t="n">
        <f aca="false">'P&amp;L Model'!G19</f>
        <v>240</v>
      </c>
      <c r="E18" s="99" t="n">
        <f aca="false">D18-C18</f>
        <v>0</v>
      </c>
      <c r="F18" s="100" t="n">
        <f aca="false">IFERROR((D18-C18)/ABS(C18),0)</f>
        <v>0</v>
      </c>
    </row>
    <row r="19" customFormat="false" ht="18.75" hidden="false" customHeight="true" outlineLevel="0" collapsed="false">
      <c r="B19" s="23" t="s">
        <v>130</v>
      </c>
      <c r="C19" s="97" t="n">
        <v>160</v>
      </c>
      <c r="D19" s="98" t="n">
        <f aca="false">'P&amp;L Model'!G20</f>
        <v>160</v>
      </c>
      <c r="E19" s="99" t="n">
        <f aca="false">D19-C19</f>
        <v>0</v>
      </c>
      <c r="F19" s="100" t="n">
        <f aca="false">IFERROR((D19-C19)/ABS(C19),0)</f>
        <v>0</v>
      </c>
    </row>
    <row r="20" customFormat="false" ht="18.75" hidden="false" customHeight="true" outlineLevel="0" collapsed="false">
      <c r="B20" s="23" t="s">
        <v>265</v>
      </c>
      <c r="C20" s="97" t="n">
        <v>314</v>
      </c>
      <c r="D20" s="98" t="n">
        <f aca="false">'P&amp;L Model'!G21</f>
        <v>390.4</v>
      </c>
      <c r="E20" s="99" t="n">
        <f aca="false">D20-C20</f>
        <v>76.4</v>
      </c>
      <c r="F20" s="100" t="n">
        <f aca="false">IFERROR((D20-C20)/ABS(C20),0)</f>
        <v>0.243312101910828</v>
      </c>
    </row>
    <row r="21" customFormat="false" ht="18.75" hidden="false" customHeight="true" outlineLevel="0" collapsed="false">
      <c r="B21" s="31" t="s">
        <v>133</v>
      </c>
      <c r="C21" s="101" t="n">
        <v>4244</v>
      </c>
      <c r="D21" s="102" t="n">
        <f aca="false">'P&amp;L Model'!G22</f>
        <v>5270.4</v>
      </c>
      <c r="E21" s="96" t="n">
        <f aca="false">D21-C21</f>
        <v>1026.4</v>
      </c>
      <c r="F21" s="103" t="n">
        <f aca="false">IFERROR((D21-C21)/ABS(C21),0)</f>
        <v>0.241847313854854</v>
      </c>
    </row>
    <row r="22" customFormat="false" ht="16.5" hidden="false" customHeight="true" outlineLevel="0" collapsed="false">
      <c r="B22" s="22" t="s">
        <v>266</v>
      </c>
      <c r="C22" s="22"/>
      <c r="D22" s="22"/>
      <c r="E22" s="22"/>
      <c r="F22" s="22"/>
    </row>
    <row r="23" customFormat="false" ht="19.5" hidden="false" customHeight="true" outlineLevel="0" collapsed="false">
      <c r="B23" s="36" t="s">
        <v>135</v>
      </c>
      <c r="C23" s="67" t="n">
        <v>9546</v>
      </c>
      <c r="D23" s="98" t="n">
        <f aca="false">'P&amp;L Model'!G25</f>
        <v>14529.6</v>
      </c>
      <c r="E23" s="99" t="n">
        <f aca="false">D23-C23</f>
        <v>4983.6</v>
      </c>
      <c r="F23" s="100" t="n">
        <f aca="false">IFERROR((D23-C23)/ABS(C23),0)</f>
        <v>0.522061596480201</v>
      </c>
    </row>
    <row r="24" customFormat="false" ht="19.5" hidden="false" customHeight="true" outlineLevel="0" collapsed="false">
      <c r="B24" s="36" t="s">
        <v>139</v>
      </c>
      <c r="C24" s="104" t="n">
        <v>0.692240754169688</v>
      </c>
      <c r="D24" s="105" t="n">
        <f aca="false">IFERROR('P&amp;L Model'!G25/'P&amp;L Model'!G12,0)</f>
        <v>0.733818181818182</v>
      </c>
      <c r="E24" s="100" t="n">
        <f aca="false">D24-C24</f>
        <v>0.0415774276484936</v>
      </c>
      <c r="F24" s="100" t="n">
        <f aca="false">IFERROR((D24-C24)/ABS(C24),0)</f>
        <v>0.0600620916899986</v>
      </c>
    </row>
    <row r="26" customFormat="false" ht="15" hidden="false" customHeight="false" outlineLevel="0" collapsed="false">
      <c r="B26" s="56" t="s">
        <v>267</v>
      </c>
      <c r="C26" s="56"/>
      <c r="D26" s="56"/>
      <c r="E26" s="56"/>
      <c r="F26" s="56"/>
    </row>
  </sheetData>
  <mergeCells count="6">
    <mergeCell ref="B1:F1"/>
    <mergeCell ref="B2:F2"/>
    <mergeCell ref="B5:F5"/>
    <mergeCell ref="B13:F13"/>
    <mergeCell ref="B22:F22"/>
    <mergeCell ref="B26:F26"/>
  </mergeCells>
  <conditionalFormatting sqref="F5:F24">
    <cfRule type="expression" priority="2" aboveAverage="0" equalAverage="0" bottom="0" percent="0" rank="0" text="" dxfId="5">
      <formula>F5&gt;0.01</formula>
    </cfRule>
    <cfRule type="expression" priority="3" aboveAverage="0" equalAverage="0" bottom="0" percent="0" rank="0" text="" dxfId="6">
      <formula>F5&lt;-0.01</formula>
    </cfRule>
  </conditionalFormatting>
  <conditionalFormatting sqref="E5:E24">
    <cfRule type="expression" priority="4" aboveAverage="0" equalAverage="0" bottom="0" percent="0" rank="0" text="" dxfId="5">
      <formula>E5&gt;0</formula>
    </cfRule>
    <cfRule type="expression" priority="5" aboveAverage="0" equalAverage="0" bottom="0" percent="0" rank="0" text="" dxfId="6">
      <formula>E5&lt;0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B3D8F"/>
    <pageSetUpPr fitToPage="true"/>
  </sheetPr>
  <dimension ref="B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6" min="5" style="0" width="20"/>
    <col collapsed="false" customWidth="true" hidden="false" outlineLevel="0" max="7" min="7" style="0" width="4"/>
  </cols>
  <sheetData>
    <row r="1" customFormat="false" ht="30" hidden="false" customHeight="true" outlineLevel="0" collapsed="false">
      <c r="B1" s="18" t="s">
        <v>268</v>
      </c>
      <c r="C1" s="18"/>
      <c r="D1" s="18"/>
      <c r="E1" s="18"/>
      <c r="F1" s="18"/>
    </row>
    <row r="2" customFormat="false" ht="13.5" hidden="false" customHeight="true" outlineLevel="0" collapsed="false">
      <c r="B2" s="19" t="s">
        <v>269</v>
      </c>
      <c r="C2" s="19"/>
      <c r="D2" s="19"/>
      <c r="E2" s="19"/>
      <c r="F2" s="19"/>
    </row>
    <row r="3" customFormat="false" ht="7.5" hidden="false" customHeight="true" outlineLevel="0" collapsed="false"/>
    <row r="4" customFormat="false" ht="21.75" hidden="false" customHeight="true" outlineLevel="0" collapsed="false">
      <c r="B4" s="20" t="s">
        <v>34</v>
      </c>
      <c r="C4" s="106" t="s">
        <v>270</v>
      </c>
      <c r="D4" s="21" t="s">
        <v>271</v>
      </c>
      <c r="E4" s="107" t="s">
        <v>272</v>
      </c>
      <c r="F4" s="30" t="s">
        <v>273</v>
      </c>
    </row>
    <row r="5" customFormat="false" ht="16.5" hidden="false" customHeight="true" outlineLevel="0" collapsed="false">
      <c r="B5" s="22" t="s">
        <v>274</v>
      </c>
      <c r="C5" s="22"/>
      <c r="D5" s="22"/>
      <c r="E5" s="22"/>
      <c r="F5" s="22"/>
    </row>
    <row r="6" customFormat="false" ht="18.75" hidden="false" customHeight="true" outlineLevel="0" collapsed="false">
      <c r="B6" s="23" t="s">
        <v>51</v>
      </c>
      <c r="C6" s="108" t="n">
        <v>6</v>
      </c>
      <c r="D6" s="108" t="n">
        <v>8</v>
      </c>
      <c r="E6" s="108" t="n">
        <v>10</v>
      </c>
      <c r="F6" s="108" t="n">
        <f aca="false">E6-D6</f>
        <v>2</v>
      </c>
    </row>
    <row r="7" customFormat="false" ht="18.75" hidden="false" customHeight="true" outlineLevel="0" collapsed="false">
      <c r="B7" s="23" t="s">
        <v>275</v>
      </c>
      <c r="C7" s="99" t="n">
        <v>300</v>
      </c>
      <c r="D7" s="99" t="n">
        <v>500</v>
      </c>
      <c r="E7" s="99" t="n">
        <v>700</v>
      </c>
      <c r="F7" s="99" t="n">
        <f aca="false">E7-D7</f>
        <v>200</v>
      </c>
    </row>
    <row r="8" customFormat="false" ht="18.75" hidden="false" customHeight="true" outlineLevel="0" collapsed="false">
      <c r="B8" s="23" t="s">
        <v>276</v>
      </c>
      <c r="C8" s="100" t="n">
        <v>0.6</v>
      </c>
      <c r="D8" s="100" t="n">
        <v>0.75</v>
      </c>
      <c r="E8" s="100" t="n">
        <v>0.9</v>
      </c>
      <c r="F8" s="100" t="n">
        <f aca="false">E8-D8</f>
        <v>0.15</v>
      </c>
    </row>
    <row r="9" customFormat="false" ht="18.75" hidden="false" customHeight="true" outlineLevel="0" collapsed="false">
      <c r="B9" s="23" t="s">
        <v>277</v>
      </c>
      <c r="C9" s="108" t="n">
        <v>2</v>
      </c>
      <c r="D9" s="108" t="n">
        <v>3</v>
      </c>
      <c r="E9" s="108" t="n">
        <v>4</v>
      </c>
      <c r="F9" s="108" t="n">
        <f aca="false">E9-D9</f>
        <v>1</v>
      </c>
    </row>
    <row r="10" customFormat="false" ht="18.75" hidden="false" customHeight="true" outlineLevel="0" collapsed="false">
      <c r="B10" s="23" t="s">
        <v>278</v>
      </c>
      <c r="C10" s="99" t="n">
        <v>3000</v>
      </c>
      <c r="D10" s="99" t="n">
        <v>4000</v>
      </c>
      <c r="E10" s="99" t="n">
        <v>5500</v>
      </c>
      <c r="F10" s="99" t="n">
        <f aca="false">E10-D10</f>
        <v>1500</v>
      </c>
    </row>
    <row r="11" customFormat="false" ht="18.75" hidden="false" customHeight="true" outlineLevel="0" collapsed="false">
      <c r="B11" s="23" t="s">
        <v>279</v>
      </c>
      <c r="C11" s="99" t="n">
        <v>1500</v>
      </c>
      <c r="D11" s="99" t="n">
        <v>2000</v>
      </c>
      <c r="E11" s="99" t="n">
        <v>2500</v>
      </c>
      <c r="F11" s="99" t="n">
        <f aca="false">E11-D11</f>
        <v>500</v>
      </c>
    </row>
    <row r="12" customFormat="false" ht="18.75" hidden="false" customHeight="true" outlineLevel="0" collapsed="false">
      <c r="B12" s="23" t="s">
        <v>38</v>
      </c>
      <c r="C12" s="108" t="n">
        <v>75</v>
      </c>
      <c r="D12" s="108" t="n">
        <v>85</v>
      </c>
      <c r="E12" s="108" t="n">
        <v>95</v>
      </c>
      <c r="F12" s="108" t="n">
        <f aca="false">E12-D12</f>
        <v>10</v>
      </c>
    </row>
    <row r="13" customFormat="false" ht="18.75" hidden="false" customHeight="true" outlineLevel="0" collapsed="false">
      <c r="B13" s="23" t="s">
        <v>280</v>
      </c>
      <c r="C13" s="99" t="n">
        <v>15</v>
      </c>
      <c r="D13" s="99" t="n">
        <v>20</v>
      </c>
      <c r="E13" s="99" t="n">
        <v>25</v>
      </c>
      <c r="F13" s="99" t="n">
        <f aca="false">E13-D13</f>
        <v>5</v>
      </c>
    </row>
    <row r="14" customFormat="false" ht="16.5" hidden="false" customHeight="true" outlineLevel="0" collapsed="false">
      <c r="B14" s="22" t="s">
        <v>281</v>
      </c>
      <c r="C14" s="22"/>
      <c r="D14" s="22"/>
      <c r="E14" s="22"/>
      <c r="F14" s="22"/>
    </row>
    <row r="15" customFormat="false" ht="18.75" hidden="false" customHeight="true" outlineLevel="0" collapsed="false">
      <c r="B15" s="23" t="s">
        <v>282</v>
      </c>
      <c r="C15" s="108" t="n">
        <v>3</v>
      </c>
      <c r="D15" s="108" t="n">
        <v>4</v>
      </c>
      <c r="E15" s="108" t="n">
        <v>5</v>
      </c>
      <c r="F15" s="108" t="n">
        <f aca="false">E15-D15</f>
        <v>1</v>
      </c>
    </row>
    <row r="16" customFormat="false" ht="18.75" hidden="false" customHeight="true" outlineLevel="0" collapsed="false">
      <c r="B16" s="23" t="s">
        <v>80</v>
      </c>
      <c r="C16" s="99" t="n">
        <v>500</v>
      </c>
      <c r="D16" s="99" t="n">
        <v>600</v>
      </c>
      <c r="E16" s="99" t="n">
        <v>750</v>
      </c>
      <c r="F16" s="99" t="n">
        <f aca="false">E16-D16</f>
        <v>150</v>
      </c>
    </row>
    <row r="17" customFormat="false" ht="18.75" hidden="false" customHeight="true" outlineLevel="0" collapsed="false">
      <c r="B17" s="23" t="s">
        <v>283</v>
      </c>
      <c r="C17" s="99" t="n">
        <v>100</v>
      </c>
      <c r="D17" s="99" t="n">
        <v>150</v>
      </c>
      <c r="E17" s="99" t="n">
        <v>200</v>
      </c>
      <c r="F17" s="99" t="n">
        <f aca="false">E17-D17</f>
        <v>50</v>
      </c>
    </row>
    <row r="18" customFormat="false" ht="18.75" hidden="false" customHeight="true" outlineLevel="0" collapsed="false">
      <c r="B18" s="23" t="s">
        <v>284</v>
      </c>
      <c r="C18" s="99" t="n">
        <v>180</v>
      </c>
      <c r="D18" s="99" t="n">
        <v>220</v>
      </c>
      <c r="E18" s="99" t="n">
        <v>280</v>
      </c>
      <c r="F18" s="99" t="n">
        <f aca="false">E18-D18</f>
        <v>60</v>
      </c>
    </row>
    <row r="19" customFormat="false" ht="16.5" hidden="false" customHeight="true" outlineLevel="0" collapsed="false">
      <c r="B19" s="22" t="s">
        <v>285</v>
      </c>
      <c r="C19" s="22"/>
      <c r="D19" s="22"/>
      <c r="E19" s="22"/>
      <c r="F19" s="22"/>
    </row>
    <row r="20" customFormat="false" ht="18.75" hidden="false" customHeight="true" outlineLevel="0" collapsed="false">
      <c r="B20" s="31" t="s">
        <v>286</v>
      </c>
      <c r="C20" s="109" t="n">
        <v>10705</v>
      </c>
      <c r="D20" s="110" t="n">
        <v>19800</v>
      </c>
      <c r="E20" s="111" t="n">
        <v>34575</v>
      </c>
      <c r="F20" s="96" t="n">
        <f aca="false">E20-D20</f>
        <v>14775</v>
      </c>
    </row>
    <row r="21" customFormat="false" ht="18.75" hidden="false" customHeight="true" outlineLevel="0" collapsed="false">
      <c r="B21" s="31" t="s">
        <v>287</v>
      </c>
      <c r="C21" s="109" t="n">
        <v>3694</v>
      </c>
      <c r="D21" s="110" t="n">
        <v>5270</v>
      </c>
      <c r="E21" s="111" t="n">
        <v>7844</v>
      </c>
      <c r="F21" s="96" t="n">
        <f aca="false">E21-D21</f>
        <v>2574</v>
      </c>
    </row>
    <row r="22" customFormat="false" ht="18.75" hidden="false" customHeight="true" outlineLevel="0" collapsed="false">
      <c r="B22" s="31" t="s">
        <v>288</v>
      </c>
      <c r="C22" s="109" t="n">
        <v>7011</v>
      </c>
      <c r="D22" s="110" t="n">
        <v>14530</v>
      </c>
      <c r="E22" s="111" t="n">
        <v>26731</v>
      </c>
      <c r="F22" s="96" t="n">
        <f aca="false">E22-D22</f>
        <v>12201</v>
      </c>
    </row>
    <row r="23" customFormat="false" ht="18.75" hidden="false" customHeight="true" outlineLevel="0" collapsed="false">
      <c r="B23" s="23" t="s">
        <v>139</v>
      </c>
      <c r="C23" s="100" t="n">
        <v>0.655</v>
      </c>
      <c r="D23" s="100" t="n">
        <v>0.734</v>
      </c>
      <c r="E23" s="100" t="n">
        <v>0.773</v>
      </c>
      <c r="F23" s="100" t="n">
        <f aca="false">E23-D23</f>
        <v>0.039</v>
      </c>
    </row>
    <row r="24" customFormat="false" ht="18.75" hidden="false" customHeight="true" outlineLevel="0" collapsed="false">
      <c r="B24" s="23" t="s">
        <v>162</v>
      </c>
      <c r="C24" s="99" t="n">
        <v>1784</v>
      </c>
      <c r="D24" s="99" t="n">
        <v>2475</v>
      </c>
      <c r="E24" s="99" t="n">
        <v>3458</v>
      </c>
      <c r="F24" s="99" t="n">
        <f aca="false">E24-D24</f>
        <v>983</v>
      </c>
    </row>
    <row r="25" customFormat="false" ht="18.75" hidden="false" customHeight="true" outlineLevel="0" collapsed="false">
      <c r="B25" s="23" t="s">
        <v>153</v>
      </c>
      <c r="C25" s="99" t="n">
        <v>49</v>
      </c>
      <c r="D25" s="99" t="n">
        <v>62</v>
      </c>
      <c r="E25" s="99" t="n">
        <v>83</v>
      </c>
      <c r="F25" s="99" t="n">
        <f aca="false">E25-D25</f>
        <v>21</v>
      </c>
    </row>
    <row r="26" customFormat="false" ht="18.75" hidden="false" customHeight="true" outlineLevel="0" collapsed="false">
      <c r="B26" s="23" t="s">
        <v>289</v>
      </c>
      <c r="C26" s="99" t="n">
        <v>206</v>
      </c>
      <c r="D26" s="99" t="n">
        <v>381</v>
      </c>
      <c r="E26" s="99" t="n">
        <v>693</v>
      </c>
      <c r="F26" s="99" t="n">
        <f aca="false">E26-D26</f>
        <v>312</v>
      </c>
    </row>
    <row r="28" customFormat="false" ht="7.5" hidden="false" customHeight="true" outlineLevel="0" collapsed="false"/>
    <row r="29" customFormat="false" ht="18" hidden="false" customHeight="true" outlineLevel="0" collapsed="false">
      <c r="B29" s="56" t="s">
        <v>290</v>
      </c>
      <c r="C29" s="56"/>
      <c r="D29" s="56"/>
      <c r="E29" s="56"/>
      <c r="F29" s="56"/>
    </row>
  </sheetData>
  <mergeCells count="6">
    <mergeCell ref="B1:F1"/>
    <mergeCell ref="B2:F2"/>
    <mergeCell ref="B5:F5"/>
    <mergeCell ref="B14:F14"/>
    <mergeCell ref="B19:F19"/>
    <mergeCell ref="B29:F29"/>
  </mergeCells>
  <conditionalFormatting sqref="F13:F27">
    <cfRule type="expression" priority="2" aboveAverage="0" equalAverage="0" bottom="0" percent="0" rank="0" text="" dxfId="5">
      <formula>F13&gt;0</formula>
    </cfRule>
    <cfRule type="expression" priority="3" aboveAverage="0" equalAverage="0" bottom="0" percent="0" rank="0" text="" dxfId="6">
      <formula>F13&lt;0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E"/>
    <pageSetUpPr fitToPage="true"/>
  </sheetPr>
  <dimension ref="B1:I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8" min="3" style="0" width="14"/>
    <col collapsed="false" customWidth="true" hidden="false" outlineLevel="0" max="9" min="9" style="0" width="18"/>
    <col collapsed="false" customWidth="true" hidden="false" outlineLevel="0" max="10" min="10" style="0" width="4"/>
  </cols>
  <sheetData>
    <row r="1" customFormat="false" ht="30" hidden="false" customHeight="true" outlineLevel="0" collapsed="false">
      <c r="B1" s="18" t="s">
        <v>291</v>
      </c>
      <c r="C1" s="18"/>
      <c r="D1" s="18"/>
      <c r="E1" s="18"/>
      <c r="F1" s="18"/>
      <c r="G1" s="18"/>
      <c r="H1" s="18"/>
      <c r="I1" s="18"/>
    </row>
    <row r="2" customFormat="false" ht="13.5" hidden="false" customHeight="true" outlineLevel="0" collapsed="false">
      <c r="B2" s="19" t="s">
        <v>292</v>
      </c>
      <c r="C2" s="19"/>
      <c r="D2" s="19"/>
      <c r="E2" s="19"/>
      <c r="F2" s="19"/>
      <c r="G2" s="19"/>
      <c r="H2" s="19"/>
      <c r="I2" s="19"/>
    </row>
    <row r="3" customFormat="false" ht="7.5" hidden="false" customHeight="true" outlineLevel="0" collapsed="false"/>
    <row r="4" customFormat="false" ht="21.75" hidden="false" customHeight="true" outlineLevel="0" collapsed="false">
      <c r="B4" s="20" t="s">
        <v>293</v>
      </c>
      <c r="C4" s="21" t="s">
        <v>294</v>
      </c>
      <c r="D4" s="21" t="s">
        <v>295</v>
      </c>
      <c r="E4" s="21" t="s">
        <v>296</v>
      </c>
      <c r="F4" s="21" t="s">
        <v>297</v>
      </c>
      <c r="G4" s="21" t="s">
        <v>298</v>
      </c>
      <c r="H4" s="30" t="s">
        <v>299</v>
      </c>
      <c r="I4" s="42" t="s">
        <v>300</v>
      </c>
    </row>
    <row r="5" customFormat="false" ht="18" hidden="false" customHeight="true" outlineLevel="0" collapsed="false">
      <c r="B5" s="31" t="s">
        <v>301</v>
      </c>
      <c r="C5" s="58" t="n">
        <v>30</v>
      </c>
      <c r="D5" s="58" t="n">
        <v>22</v>
      </c>
      <c r="E5" s="58" t="n">
        <v>18</v>
      </c>
      <c r="F5" s="58" t="n">
        <v>10</v>
      </c>
      <c r="G5" s="58" t="n">
        <v>5</v>
      </c>
      <c r="H5" s="94" t="n">
        <f aca="false">SUM(C5:G5)</f>
        <v>85</v>
      </c>
      <c r="I5" s="112" t="s">
        <v>302</v>
      </c>
    </row>
    <row r="6" customFormat="false" ht="18" hidden="false" customHeight="true" outlineLevel="0" collapsed="false">
      <c r="B6" s="31" t="s">
        <v>303</v>
      </c>
      <c r="C6" s="95" t="n">
        <f aca="false">C5/H5</f>
        <v>0.352941176470588</v>
      </c>
      <c r="D6" s="95" t="n">
        <f aca="false">D5/H5</f>
        <v>0.258823529411765</v>
      </c>
      <c r="E6" s="95" t="n">
        <f aca="false">E5/H5</f>
        <v>0.211764705882353</v>
      </c>
      <c r="F6" s="95" t="n">
        <f aca="false">F5/H5</f>
        <v>0.117647058823529</v>
      </c>
      <c r="G6" s="95" t="n">
        <f aca="false">G5/H5</f>
        <v>0.0588235294117647</v>
      </c>
      <c r="H6" s="103" t="n">
        <f aca="false">SUM(C6:G6)</f>
        <v>1</v>
      </c>
      <c r="I6" s="112" t="s">
        <v>304</v>
      </c>
    </row>
    <row r="7" customFormat="false" ht="7.5" hidden="false" customHeight="true" outlineLevel="0" collapsed="false"/>
    <row r="8" customFormat="false" ht="16.5" hidden="false" customHeight="true" outlineLevel="0" collapsed="false">
      <c r="B8" s="22" t="s">
        <v>305</v>
      </c>
      <c r="C8" s="22"/>
      <c r="D8" s="22"/>
      <c r="E8" s="22"/>
      <c r="F8" s="22"/>
      <c r="G8" s="22"/>
      <c r="H8" s="22"/>
      <c r="I8" s="22"/>
    </row>
    <row r="9" customFormat="false" ht="18.75" hidden="false" customHeight="true" outlineLevel="0" collapsed="false">
      <c r="B9" s="23" t="s">
        <v>113</v>
      </c>
      <c r="C9" s="99" t="n">
        <f aca="false">'P&amp;L Model'!G6*C6</f>
        <v>1058.82352941176</v>
      </c>
      <c r="D9" s="99" t="n">
        <f aca="false">'P&amp;L Model'!G6*D6</f>
        <v>776.470588235294</v>
      </c>
      <c r="E9" s="99" t="n">
        <f aca="false">'P&amp;L Model'!G6*E6</f>
        <v>635.294117647059</v>
      </c>
      <c r="F9" s="99" t="n">
        <f aca="false">'P&amp;L Model'!G6*F6</f>
        <v>352.941176470588</v>
      </c>
      <c r="G9" s="99" t="n">
        <f aca="false">'P&amp;L Model'!G6*G6</f>
        <v>176.470588235294</v>
      </c>
      <c r="H9" s="113" t="n">
        <f aca="false">SUM(C9:G9)</f>
        <v>3000</v>
      </c>
      <c r="I9" s="98" t="n">
        <f aca="false">H9-'P&amp;L Model'!G6</f>
        <v>0</v>
      </c>
    </row>
    <row r="10" customFormat="false" ht="18.75" hidden="false" customHeight="true" outlineLevel="0" collapsed="false">
      <c r="B10" s="23" t="s">
        <v>114</v>
      </c>
      <c r="C10" s="99" t="n">
        <f aca="false">'P&amp;L Model'!G7*C6</f>
        <v>4235.29411764706</v>
      </c>
      <c r="D10" s="99" t="n">
        <f aca="false">'P&amp;L Model'!G7*D6</f>
        <v>3105.88235294118</v>
      </c>
      <c r="E10" s="99" t="n">
        <f aca="false">'P&amp;L Model'!G7*E6</f>
        <v>2541.17647058824</v>
      </c>
      <c r="F10" s="99" t="n">
        <f aca="false">'P&amp;L Model'!G7*F6</f>
        <v>1411.76470588235</v>
      </c>
      <c r="G10" s="99" t="n">
        <f aca="false">'P&amp;L Model'!G7*G6</f>
        <v>705.882352941177</v>
      </c>
      <c r="H10" s="113" t="n">
        <f aca="false">SUM(C10:G10)</f>
        <v>12000</v>
      </c>
      <c r="I10" s="98" t="n">
        <f aca="false">H10-'P&amp;L Model'!G7</f>
        <v>0</v>
      </c>
    </row>
    <row r="11" customFormat="false" ht="18.75" hidden="false" customHeight="true" outlineLevel="0" collapsed="false">
      <c r="B11" s="23" t="s">
        <v>262</v>
      </c>
      <c r="C11" s="99" t="n">
        <f aca="false">'P&amp;L Model'!G8*C6</f>
        <v>705.882352941177</v>
      </c>
      <c r="D11" s="99" t="n">
        <f aca="false">'P&amp;L Model'!G8*D6</f>
        <v>517.64705882353</v>
      </c>
      <c r="E11" s="99" t="n">
        <f aca="false">'P&amp;L Model'!G8*E6</f>
        <v>423.529411764706</v>
      </c>
      <c r="F11" s="99" t="n">
        <f aca="false">'P&amp;L Model'!G8*F6</f>
        <v>235.294117647059</v>
      </c>
      <c r="G11" s="99" t="n">
        <f aca="false">'P&amp;L Model'!G8*G6</f>
        <v>117.647058823529</v>
      </c>
      <c r="H11" s="113" t="n">
        <f aca="false">SUM(C11:G11)</f>
        <v>2000</v>
      </c>
      <c r="I11" s="98" t="n">
        <f aca="false">H11-'P&amp;L Model'!G8</f>
        <v>0</v>
      </c>
    </row>
    <row r="12" customFormat="false" ht="18.75" hidden="false" customHeight="true" outlineLevel="0" collapsed="false">
      <c r="B12" s="23" t="s">
        <v>116</v>
      </c>
      <c r="C12" s="99" t="n">
        <f aca="false">'P&amp;L Model'!G9*C6</f>
        <v>600</v>
      </c>
      <c r="D12" s="99" t="n">
        <f aca="false">'P&amp;L Model'!G9*D6</f>
        <v>440</v>
      </c>
      <c r="E12" s="99" t="n">
        <f aca="false">'P&amp;L Model'!G9*E6</f>
        <v>360</v>
      </c>
      <c r="F12" s="99" t="n">
        <f aca="false">'P&amp;L Model'!G9*F6</f>
        <v>200</v>
      </c>
      <c r="G12" s="99" t="n">
        <f aca="false">'P&amp;L Model'!G9*G6</f>
        <v>100</v>
      </c>
      <c r="H12" s="113" t="n">
        <f aca="false">SUM(C12:G12)</f>
        <v>1700</v>
      </c>
      <c r="I12" s="98" t="n">
        <f aca="false">H12-'P&amp;L Model'!G9</f>
        <v>0</v>
      </c>
    </row>
    <row r="13" customFormat="false" ht="18.75" hidden="false" customHeight="true" outlineLevel="0" collapsed="false">
      <c r="B13" s="23" t="s">
        <v>117</v>
      </c>
      <c r="C13" s="99" t="n">
        <f aca="false">'P&amp;L Model'!G10*C6</f>
        <v>282.352941176471</v>
      </c>
      <c r="D13" s="99" t="n">
        <f aca="false">'P&amp;L Model'!G10*D6</f>
        <v>207.058823529412</v>
      </c>
      <c r="E13" s="99" t="n">
        <f aca="false">'P&amp;L Model'!G10*E6</f>
        <v>169.411764705882</v>
      </c>
      <c r="F13" s="99" t="n">
        <f aca="false">'P&amp;L Model'!G10*F6</f>
        <v>94.1176470588235</v>
      </c>
      <c r="G13" s="99" t="n">
        <f aca="false">'P&amp;L Model'!G10*G6</f>
        <v>47.0588235294118</v>
      </c>
      <c r="H13" s="113" t="n">
        <f aca="false">SUM(C13:G13)</f>
        <v>800</v>
      </c>
      <c r="I13" s="98" t="n">
        <f aca="false">H13-'P&amp;L Model'!G10</f>
        <v>0</v>
      </c>
    </row>
    <row r="14" customFormat="false" ht="18.75" hidden="false" customHeight="true" outlineLevel="0" collapsed="false">
      <c r="B14" s="23" t="s">
        <v>306</v>
      </c>
      <c r="C14" s="99" t="n">
        <f aca="false">'P&amp;L Model'!G11*C6</f>
        <v>105.882352941176</v>
      </c>
      <c r="D14" s="99" t="n">
        <f aca="false">'P&amp;L Model'!G11*D6</f>
        <v>77.6470588235294</v>
      </c>
      <c r="E14" s="99" t="n">
        <f aca="false">'P&amp;L Model'!G11*E6</f>
        <v>63.5294117647059</v>
      </c>
      <c r="F14" s="99" t="n">
        <f aca="false">'P&amp;L Model'!G11*F6</f>
        <v>35.2941176470588</v>
      </c>
      <c r="G14" s="99" t="n">
        <f aca="false">'P&amp;L Model'!G11*G6</f>
        <v>17.6470588235294</v>
      </c>
      <c r="H14" s="113" t="n">
        <f aca="false">SUM(C14:G14)</f>
        <v>300</v>
      </c>
      <c r="I14" s="98" t="n">
        <f aca="false">H14-'P&amp;L Model'!G11</f>
        <v>0</v>
      </c>
    </row>
    <row r="15" customFormat="false" ht="18.75" hidden="false" customHeight="true" outlineLevel="0" collapsed="false">
      <c r="B15" s="31" t="s">
        <v>119</v>
      </c>
      <c r="C15" s="114" t="n">
        <f aca="false">'P&amp;L Model'!G12*C6</f>
        <v>6988.23529411765</v>
      </c>
      <c r="D15" s="114" t="n">
        <f aca="false">'P&amp;L Model'!G12*D6</f>
        <v>5124.70588235294</v>
      </c>
      <c r="E15" s="114" t="n">
        <f aca="false">'P&amp;L Model'!G12*E6</f>
        <v>4192.94117647059</v>
      </c>
      <c r="F15" s="114" t="n">
        <f aca="false">'P&amp;L Model'!G12*F6</f>
        <v>2329.41176470588</v>
      </c>
      <c r="G15" s="114" t="n">
        <f aca="false">'P&amp;L Model'!G12*G6</f>
        <v>1164.70588235294</v>
      </c>
      <c r="H15" s="110" t="n">
        <f aca="false">SUM(C15:G15)</f>
        <v>19800</v>
      </c>
      <c r="I15" s="102" t="n">
        <f aca="false">H15-'P&amp;L Model'!G12</f>
        <v>0</v>
      </c>
    </row>
    <row r="16" customFormat="false" ht="16.5" hidden="false" customHeight="true" outlineLevel="0" collapsed="false">
      <c r="B16" s="22" t="s">
        <v>307</v>
      </c>
      <c r="C16" s="22"/>
      <c r="D16" s="22"/>
      <c r="E16" s="22"/>
      <c r="F16" s="22"/>
      <c r="G16" s="22"/>
      <c r="H16" s="22"/>
      <c r="I16" s="22"/>
    </row>
    <row r="17" customFormat="false" ht="18.75" hidden="false" customHeight="true" outlineLevel="0" collapsed="false">
      <c r="B17" s="23" t="s">
        <v>122</v>
      </c>
      <c r="C17" s="99" t="n">
        <f aca="false">'P&amp;L Model'!G15*C6</f>
        <v>847.058823529412</v>
      </c>
      <c r="D17" s="99" t="n">
        <f aca="false">'P&amp;L Model'!G15*D6</f>
        <v>621.176470588235</v>
      </c>
      <c r="E17" s="99" t="n">
        <f aca="false">'P&amp;L Model'!G15*E6</f>
        <v>508.235294117647</v>
      </c>
      <c r="F17" s="99" t="n">
        <f aca="false">'P&amp;L Model'!G15*F6</f>
        <v>282.352941176471</v>
      </c>
      <c r="G17" s="99" t="n">
        <f aca="false">'P&amp;L Model'!G15*G6</f>
        <v>141.176470588235</v>
      </c>
      <c r="H17" s="113" t="n">
        <f aca="false">SUM(C17:G17)</f>
        <v>2400</v>
      </c>
      <c r="I17" s="98" t="n">
        <f aca="false">H17-'P&amp;L Model'!G15</f>
        <v>0</v>
      </c>
    </row>
    <row r="18" customFormat="false" ht="18.75" hidden="false" customHeight="true" outlineLevel="0" collapsed="false">
      <c r="B18" s="23" t="s">
        <v>123</v>
      </c>
      <c r="C18" s="99" t="n">
        <f aca="false">'P&amp;L Model'!G16*C6</f>
        <v>423.529411764706</v>
      </c>
      <c r="D18" s="99" t="n">
        <f aca="false">'P&amp;L Model'!G16*D6</f>
        <v>310.588235294118</v>
      </c>
      <c r="E18" s="99" t="n">
        <f aca="false">'P&amp;L Model'!G16*E6</f>
        <v>254.117647058824</v>
      </c>
      <c r="F18" s="99" t="n">
        <f aca="false">'P&amp;L Model'!G16*F6</f>
        <v>141.176470588235</v>
      </c>
      <c r="G18" s="99" t="n">
        <f aca="false">'P&amp;L Model'!G16*G6</f>
        <v>70.5882352941177</v>
      </c>
      <c r="H18" s="113" t="n">
        <f aca="false">SUM(C18:G18)</f>
        <v>1200</v>
      </c>
      <c r="I18" s="98" t="n">
        <f aca="false">H18-'P&amp;L Model'!G16</f>
        <v>0</v>
      </c>
    </row>
    <row r="19" customFormat="false" ht="18.75" hidden="false" customHeight="true" outlineLevel="0" collapsed="false">
      <c r="B19" s="23" t="s">
        <v>125</v>
      </c>
      <c r="C19" s="99" t="n">
        <f aca="false">'P&amp;L Model'!G17*C6</f>
        <v>141.176470588235</v>
      </c>
      <c r="D19" s="99" t="n">
        <f aca="false">'P&amp;L Model'!G17*D6</f>
        <v>103.529411764706</v>
      </c>
      <c r="E19" s="99" t="n">
        <f aca="false">'P&amp;L Model'!G17*E6</f>
        <v>84.7058823529412</v>
      </c>
      <c r="F19" s="99" t="n">
        <f aca="false">'P&amp;L Model'!G17*F6</f>
        <v>47.0588235294118</v>
      </c>
      <c r="G19" s="99" t="n">
        <f aca="false">'P&amp;L Model'!G17*G6</f>
        <v>23.5294117647059</v>
      </c>
      <c r="H19" s="113" t="n">
        <f aca="false">SUM(C19:G19)</f>
        <v>400</v>
      </c>
      <c r="I19" s="98" t="n">
        <f aca="false">H19-'P&amp;L Model'!G17</f>
        <v>0</v>
      </c>
    </row>
    <row r="20" customFormat="false" ht="18.75" hidden="false" customHeight="true" outlineLevel="0" collapsed="false">
      <c r="B20" s="23" t="s">
        <v>127</v>
      </c>
      <c r="C20" s="99" t="n">
        <f aca="false">'P&amp;L Model'!G18*C6</f>
        <v>169.411764705882</v>
      </c>
      <c r="D20" s="99" t="n">
        <f aca="false">'P&amp;L Model'!G18*D6</f>
        <v>124.235294117647</v>
      </c>
      <c r="E20" s="99" t="n">
        <f aca="false">'P&amp;L Model'!G18*E6</f>
        <v>101.647058823529</v>
      </c>
      <c r="F20" s="99" t="n">
        <f aca="false">'P&amp;L Model'!G18*F6</f>
        <v>56.4705882352941</v>
      </c>
      <c r="G20" s="99" t="n">
        <f aca="false">'P&amp;L Model'!G18*G6</f>
        <v>28.2352941176471</v>
      </c>
      <c r="H20" s="113" t="n">
        <f aca="false">SUM(C20:G20)</f>
        <v>480</v>
      </c>
      <c r="I20" s="98" t="n">
        <f aca="false">H20-'P&amp;L Model'!G18</f>
        <v>0</v>
      </c>
    </row>
    <row r="21" customFormat="false" ht="18.75" hidden="false" customHeight="true" outlineLevel="0" collapsed="false">
      <c r="B21" s="23" t="s">
        <v>129</v>
      </c>
      <c r="C21" s="99" t="n">
        <f aca="false">'P&amp;L Model'!G19*C6</f>
        <v>84.7058823529412</v>
      </c>
      <c r="D21" s="99" t="n">
        <f aca="false">'P&amp;L Model'!G19*D6</f>
        <v>62.1176470588235</v>
      </c>
      <c r="E21" s="99" t="n">
        <f aca="false">'P&amp;L Model'!G19*E6</f>
        <v>50.8235294117647</v>
      </c>
      <c r="F21" s="99" t="n">
        <f aca="false">'P&amp;L Model'!G19*F6</f>
        <v>28.2352941176471</v>
      </c>
      <c r="G21" s="99" t="n">
        <f aca="false">'P&amp;L Model'!G19*G6</f>
        <v>14.1176470588235</v>
      </c>
      <c r="H21" s="113" t="n">
        <f aca="false">SUM(C21:G21)</f>
        <v>240</v>
      </c>
      <c r="I21" s="98" t="n">
        <f aca="false">H21-'P&amp;L Model'!G19</f>
        <v>0</v>
      </c>
    </row>
    <row r="22" customFormat="false" ht="18.75" hidden="false" customHeight="true" outlineLevel="0" collapsed="false">
      <c r="B22" s="23" t="s">
        <v>130</v>
      </c>
      <c r="C22" s="99" t="n">
        <f aca="false">'P&amp;L Model'!G20*C6</f>
        <v>56.4705882352941</v>
      </c>
      <c r="D22" s="99" t="n">
        <f aca="false">'P&amp;L Model'!G20*D6</f>
        <v>41.4117647058824</v>
      </c>
      <c r="E22" s="99" t="n">
        <f aca="false">'P&amp;L Model'!G20*E6</f>
        <v>33.8823529411765</v>
      </c>
      <c r="F22" s="99" t="n">
        <f aca="false">'P&amp;L Model'!G20*F6</f>
        <v>18.8235294117647</v>
      </c>
      <c r="G22" s="99" t="n">
        <f aca="false">'P&amp;L Model'!G20*G6</f>
        <v>9.41176470588235</v>
      </c>
      <c r="H22" s="113" t="n">
        <f aca="false">SUM(C22:G22)</f>
        <v>160</v>
      </c>
      <c r="I22" s="98" t="n">
        <f aca="false">H22-'P&amp;L Model'!G20</f>
        <v>0</v>
      </c>
    </row>
    <row r="23" customFormat="false" ht="18.75" hidden="false" customHeight="true" outlineLevel="0" collapsed="false">
      <c r="B23" s="23" t="s">
        <v>265</v>
      </c>
      <c r="C23" s="99" t="n">
        <f aca="false">'P&amp;L Model'!G21*C6</f>
        <v>137.788235294118</v>
      </c>
      <c r="D23" s="99" t="n">
        <f aca="false">'P&amp;L Model'!G21*D6</f>
        <v>101.044705882353</v>
      </c>
      <c r="E23" s="99" t="n">
        <f aca="false">'P&amp;L Model'!G21*E6</f>
        <v>82.6729411764706</v>
      </c>
      <c r="F23" s="99" t="n">
        <f aca="false">'P&amp;L Model'!G21*F6</f>
        <v>45.9294117647059</v>
      </c>
      <c r="G23" s="99" t="n">
        <f aca="false">'P&amp;L Model'!G21*G6</f>
        <v>22.9647058823529</v>
      </c>
      <c r="H23" s="113" t="n">
        <f aca="false">SUM(C23:G23)</f>
        <v>390.4</v>
      </c>
      <c r="I23" s="98" t="n">
        <f aca="false">H23-'P&amp;L Model'!G21</f>
        <v>0</v>
      </c>
    </row>
    <row r="24" customFormat="false" ht="18.75" hidden="false" customHeight="true" outlineLevel="0" collapsed="false">
      <c r="B24" s="31" t="s">
        <v>133</v>
      </c>
      <c r="C24" s="114" t="n">
        <f aca="false">'P&amp;L Model'!G22*C6</f>
        <v>1860.14117647059</v>
      </c>
      <c r="D24" s="114" t="n">
        <f aca="false">'P&amp;L Model'!G22*D6</f>
        <v>1364.10352941176</v>
      </c>
      <c r="E24" s="114" t="n">
        <f aca="false">'P&amp;L Model'!G22*E6</f>
        <v>1116.08470588235</v>
      </c>
      <c r="F24" s="114" t="n">
        <f aca="false">'P&amp;L Model'!G22*F6</f>
        <v>620.047058823529</v>
      </c>
      <c r="G24" s="114" t="n">
        <f aca="false">'P&amp;L Model'!G22*G6</f>
        <v>310.023529411765</v>
      </c>
      <c r="H24" s="110" t="n">
        <f aca="false">SUM(C24:G24)</f>
        <v>5270.4</v>
      </c>
      <c r="I24" s="102" t="n">
        <f aca="false">H24-'P&amp;L Model'!G22</f>
        <v>0</v>
      </c>
    </row>
    <row r="25" customFormat="false" ht="16.5" hidden="false" customHeight="true" outlineLevel="0" collapsed="false">
      <c r="B25" s="22" t="s">
        <v>266</v>
      </c>
      <c r="C25" s="22"/>
      <c r="D25" s="22"/>
      <c r="E25" s="22"/>
      <c r="F25" s="22"/>
      <c r="G25" s="22"/>
      <c r="H25" s="22"/>
      <c r="I25" s="22"/>
    </row>
    <row r="26" customFormat="false" ht="18.75" hidden="false" customHeight="true" outlineLevel="0" collapsed="false">
      <c r="B26" s="31" t="s">
        <v>156</v>
      </c>
      <c r="C26" s="114" t="n">
        <f aca="false">'P&amp;L Model'!G25*C6</f>
        <v>5128.09411764706</v>
      </c>
      <c r="D26" s="114" t="n">
        <f aca="false">'P&amp;L Model'!G25*D6</f>
        <v>3760.60235294118</v>
      </c>
      <c r="E26" s="114" t="n">
        <f aca="false">'P&amp;L Model'!G25*E6</f>
        <v>3076.85647058824</v>
      </c>
      <c r="F26" s="114" t="n">
        <f aca="false">'P&amp;L Model'!G25*F6</f>
        <v>1709.36470588235</v>
      </c>
      <c r="G26" s="114" t="n">
        <f aca="false">'P&amp;L Model'!G25*G6</f>
        <v>854.682352941177</v>
      </c>
      <c r="H26" s="110" t="n">
        <f aca="false">SUM(C26:G26)</f>
        <v>14529.6</v>
      </c>
      <c r="I26" s="102" t="n">
        <f aca="false">H26-'P&amp;L Model'!G25</f>
        <v>0</v>
      </c>
    </row>
    <row r="28" customFormat="false" ht="30" hidden="false" customHeight="true" outlineLevel="0" collapsed="false">
      <c r="B28" s="115" t="s">
        <v>308</v>
      </c>
      <c r="C28" s="115"/>
      <c r="D28" s="115"/>
      <c r="E28" s="115"/>
      <c r="F28" s="115"/>
      <c r="G28" s="115"/>
      <c r="H28" s="115"/>
      <c r="I28" s="115"/>
    </row>
  </sheetData>
  <mergeCells count="6">
    <mergeCell ref="B1:I1"/>
    <mergeCell ref="B2:I2"/>
    <mergeCell ref="B8:I8"/>
    <mergeCell ref="B16:I16"/>
    <mergeCell ref="B25:I25"/>
    <mergeCell ref="B28:I28"/>
  </mergeCells>
  <conditionalFormatting sqref="I8:I27">
    <cfRule type="expression" priority="2" aboveAverage="0" equalAverage="0" bottom="0" percent="0" rank="0" text="" dxfId="6">
      <formula>AND(I8&lt;&gt;0,I8&lt;&gt;"")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2026-05-02T07:56:26Z</dcterms:created>
  <dc:creator>openpyxl</dc:creator>
  <dc:description/>
  <dc:language>en-US</dc:language>
  <cp:lastModifiedBy/>
  <dcterms:modified xsi:type="dcterms:W3CDTF">2026-05-02T08:35:55Z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